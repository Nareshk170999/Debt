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<sst xmlns="http://schemas.openxmlformats.org/spreadsheetml/2006/main" count="378" uniqueCount="292">
  <si>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</si>
  <si>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</si>
  <si>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</si>
  <si>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</si>
  <si>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</si>
  <si>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</si>
  <si>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</si>
  <si>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</si>
  <si>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</si>
  <si>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</si>
  <si>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</si>
  <si>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</si>
  <si>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</si>
  <si>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</si>
  <si>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</si>
  <si>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</si>
  <si>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</si>
  <si>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</si>
  <si>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</si>
  <si>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</si>
  <si>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</si>
  <si>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</si>
  <si>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</si>
  <si>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</si>
  <si>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</si>
  <si>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</si>
  <si>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</si>
  <si>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</si>
  <si>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</si>
  <si>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</si>
  <si>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</si>
  <si>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</si>
  <si>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</si>
  <si>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</si>
  <si>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</si>
  <si>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</si>
  <si>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</si>
  <si>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</si>
  <si>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</si>
  <si>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</si>
  <si>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</si>
  <si>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</si>
  <si>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</si>
  <si>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</si>
  <si>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</si>
  <si>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</si>
  <si>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</si>
  <si>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</si>
  <si>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</si>
  <si>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</si>
  <si>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</si>
  <si>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</si>
  <si>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</si>
  <si>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</si>
  <si>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</si>
  <si>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</si>
  <si>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</si>
  <si>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</si>
  <si>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</si>
  <si>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</si>
  <si>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</si>
  <si>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</si>
  <si>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</si>
  <si>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</si>
  <si>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</si>
  <si>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</si>
  <si>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</si>
  <si>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</si>
  <si>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</si>
  <si>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</si>
  <si>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</si>
  <si>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</si>
  <si>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</si>
  <si>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</si>
  <si>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</si>
  <si>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</si>
  <si>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</si>
  <si>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</si>
  <si>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</si>
  <si>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</si>
  <si>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</si>
  <si>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</si>
  <si>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</si>
  <si>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</si>
  <si>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</si>
  <si>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</si>
  <si>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</si>
  <si>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</si>
  <si>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</si>
  <si>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</si>
  <si>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</si>
  <si>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</si>
  <si>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</si>
  <si>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</si>
  <si>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</si>
  <si>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</si>
  <si>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</si>
  <si>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</si>
  <si>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</si>
  <si>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</si>
  <si>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</si>
  <si>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</si>
  <si>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</si>
  <si>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</si>
  <si>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</si>
  <si>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</si>
  <si>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</si>
  <si>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</si>
  <si>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</si>
  <si>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</si>
  <si>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</si>
  <si>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</si>
  <si>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</si>
  <si>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</si>
  <si>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</si>
  <si>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</si>
  <si>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</si>
  <si>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</si>
  <si>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</si>
  <si>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</si>
  <si>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</si>
  <si>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</si>
  <si>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</si>
  <si>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</si>
  <si>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</si>
  <si>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</si>
  <si>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</si>
  <si>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</si>
  <si>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</si>
  <si>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</si>
  <si>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</si>
  <si>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</si>
  <si>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</si>
  <si>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Test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</si>
  <si>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</si>
  <si>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</si>
  <si>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</si>
  <si>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</si>
  <si>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</si>
  <si>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</si>
  <si>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</si>
  <si>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</si>
  <si>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</si>
  <si>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</si>
  <si>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</si>
  <si>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</si>
  <si>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</si>
  <si>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</si>
  <si>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</si>
  <si>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</si>
  <si>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</si>
  <si>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</si>
  <si>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</si>
  <si>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</si>
  <si>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</si>
  <si>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</si>
  <si>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</si>
  <si>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</si>
  <si>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</si>
  <si>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</si>
  <si>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</si>
  <si>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</si>
  <si>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</si>
  <si>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</si>
  <si>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</si>
  <si>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</si>
  <si>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</si>
  <si>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</si>
  <si>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</si>
  <si>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</si>
  <si>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</si>
  <si>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</si>
  <si>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</si>
  <si>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</si>
  <si>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</si>
  <si>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</si>
  <si>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</si>
  <si>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</si>
  <si>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</si>
  <si>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</si>
  <si>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</si>
  <si>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</si>
  <si>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</si>
  <si>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</si>
  <si>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</si>
  <si>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</si>
  <si>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</si>
  <si>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</si>
  <si>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</si>
  <si>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</si>
  <si>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</si>
  <si>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</si>
  <si>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</si>
  <si>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</si>
  <si>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</si>
  <si>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</si>
  <si>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</si>
  <si>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</si>
  <si>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</si>
  <si>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</si>
  <si>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</si>
  <si>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</si>
  <si>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</si>
  <si>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</si>
  <si>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</si>
  <si>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</si>
  <si>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</si>
  <si>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</si>
  <si>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</si>
  <si>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</si>
  <si>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</si>
  <si>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</si>
  <si>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</si>
  <si>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</si>
  <si>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</si>
  <si>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</si>
  <si>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</si>
  <si>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</si>
  <si>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</si>
  <si>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</si>
  <si>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</si>
  <si>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</si>
  <si>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</si>
  <si>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</si>
  <si>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</si>
  <si>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</si>
  <si>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</si>
  <si>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</si>
  <si>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</si>
  <si>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</si>
  <si>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</si>
  <si>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</si>
  <si>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</si>
  <si>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</si>
  <si>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</si>
  <si>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</si>
  <si>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</si>
  <si>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</si>
  <si>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</si>
  <si>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</si>
  <si>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</si>
  <si>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</si>
  <si>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</si>
  <si>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</si>
  <si>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</si>
  <si>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</si>
  <si>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</si>
  <si>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</si>
  <si>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</si>
  <si>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</si>
  <si>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</si>
  <si>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</si>
  <si>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</si>
  <si>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</si>
  <si>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EMI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</si>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</sst>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yyyy-mm-dd"/>
    <numFmt numFmtId="170" formatCode="dd/mm/yyyy"/>
    <numFmt numFmtId="171" formatCode="d mmm yyyy"/>
    <numFmt numFmtId="172" formatCode="d mmmm yyyy"/>
  </numFmts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0" xfId="0" applyFont="1"/>
    <xf borderId="0" fillId="0" fontId="4" numFmtId="168" xfId="0" applyFont="1" applyNumberFormat="1"/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15" fontId="20" numFmtId="0" xfId="0" applyFill="1" applyFont="1"/>
    <xf borderId="0" fillId="0" fontId="21" numFmtId="0" xfId="0" applyFont="1"/>
    <xf borderId="0" fillId="0" fontId="21" numFmtId="10" xfId="0" applyFont="1" applyNumberFormat="1"/>
    <xf borderId="0" fillId="0" fontId="21" numFmtId="164" xfId="0" applyFont="1" applyNumberFormat="1"/>
    <xf borderId="0" fillId="0" fontId="21" numFmtId="169" xfId="0" applyFont="1" applyNumberFormat="1"/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3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0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1" xfId="0" applyAlignment="1" applyFont="1" applyNumberForma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8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0" fillId="18" fontId="27" numFmtId="0" xfId="0" applyAlignment="1" applyFont="1">
      <alignment horizontal="right"/>
    </xf>
    <xf borderId="0" fillId="18" fontId="27" numFmtId="164" xfId="0" applyAlignment="1" applyFont="1" applyNumberFormat="1">
      <alignment horizontal="right"/>
    </xf>
    <xf borderId="0" fillId="12" fontId="27" numFmtId="0" xfId="0" applyFont="1"/>
    <xf borderId="0" fillId="12" fontId="27" numFmtId="168" xfId="0" applyAlignment="1" applyFont="1" applyNumberFormat="1">
      <alignment horizontal="right"/>
    </xf>
    <xf borderId="0" fillId="12" fontId="27" numFmtId="10" xfId="0" applyAlignment="1" applyFont="1" applyNumberFormat="1">
      <alignment horizontal="right"/>
    </xf>
    <xf borderId="0" fillId="12" fontId="27" numFmtId="0" xfId="0" applyAlignment="1" applyFont="1">
      <alignment horizontal="right"/>
    </xf>
    <xf borderId="0" fillId="12" fontId="27" numFmtId="164" xfId="0" applyAlignment="1" applyFont="1" applyNumberFormat="1">
      <alignment horizontal="right"/>
    </xf>
    <xf borderId="0" fillId="18" fontId="24" numFmtId="168" xfId="0" applyFont="1" applyNumberFormat="1"/>
    <xf borderId="0" fillId="18" fontId="24" numFmtId="10" xfId="0" applyFont="1" applyNumberFormat="1"/>
    <xf borderId="0" fillId="18" fontId="24" numFmtId="0" xfId="0" applyFont="1"/>
    <xf borderId="0" fillId="18" fontId="24" numFmtId="164" xfId="0" applyFont="1" applyNumberFormat="1"/>
    <xf borderId="0" fillId="12" fontId="24" numFmtId="10" xfId="0" applyFont="1" applyNumberFormat="1"/>
    <xf borderId="0" fillId="12" fontId="24" numFmtId="0" xfId="0" applyFont="1"/>
    <xf borderId="0" fillId="12" fontId="24" numFmtId="168" xfId="0" applyFont="1" applyNumberFormat="1"/>
    <xf borderId="0" fillId="12" fontId="24" numFmtId="164" xfId="0" applyFont="1" applyNumberFormat="1"/>
    <xf borderId="0" fillId="12" fontId="27" numFmtId="0" xfId="0" applyAlignment="1" applyFont="1">
      <alignment vertical="bottom"/>
    </xf>
    <xf borderId="0" fillId="12" fontId="27" numFmtId="168" xfId="0" applyAlignment="1" applyFont="1" applyNumberFormat="1">
      <alignment horizontal="right" vertical="bottom"/>
    </xf>
    <xf borderId="0" fillId="12" fontId="27" numFmtId="10" xfId="0" applyAlignment="1" applyFont="1" applyNumberFormat="1">
      <alignment horizontal="right" vertical="bottom"/>
    </xf>
    <xf borderId="0" fillId="12" fontId="27" numFmtId="0" xfId="0" applyAlignment="1" applyFont="1">
      <alignment horizontal="right" vertical="bottom"/>
    </xf>
    <xf borderId="0" fillId="12" fontId="27" numFmtId="164" xfId="0" applyAlignment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W59" displayName="Table1" name="Table1" id="1">
  <tableColumns count="22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99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7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6" t="s">
        <v>57</v>
      </c>
      <c r="C24" s="37">
        <f>SUM(C8:C23)</f>
        <v>94561</v>
      </c>
      <c r="D24" s="38"/>
      <c r="E24" s="38"/>
      <c r="F24" s="38"/>
      <c r="G24" s="38"/>
      <c r="H24" s="38"/>
    </row>
    <row r="25" ht="19.5" customHeight="1">
      <c r="B25" s="36" t="s">
        <v>58</v>
      </c>
      <c r="C25" s="37">
        <f>C5-C24</f>
        <v>15439</v>
      </c>
      <c r="D25" s="38"/>
      <c r="E25" s="38"/>
      <c r="F25" s="38"/>
      <c r="G25" s="38"/>
      <c r="H25" s="38"/>
    </row>
    <row r="26" ht="15.75" customHeight="1"/>
    <row r="27" ht="15.75" customHeight="1">
      <c r="B27" s="39" t="s">
        <v>59</v>
      </c>
      <c r="C27" s="40"/>
      <c r="D27" s="40"/>
      <c r="E27" s="40"/>
      <c r="F27" s="40"/>
      <c r="G27" s="40"/>
      <c r="H27" s="41"/>
    </row>
    <row r="28" ht="15.75" customHeight="1">
      <c r="B28" s="42" t="s">
        <v>60</v>
      </c>
      <c r="C28" s="40"/>
      <c r="D28" s="40"/>
      <c r="E28" s="40"/>
      <c r="F28" s="40"/>
      <c r="G28" s="40"/>
      <c r="H28" s="43"/>
    </row>
    <row r="29" ht="15.75" customHeight="1">
      <c r="B29" s="42" t="s">
        <v>61</v>
      </c>
      <c r="C29" s="40"/>
      <c r="D29" s="40"/>
      <c r="E29" s="40"/>
      <c r="F29" s="40"/>
      <c r="G29" s="40"/>
      <c r="H29" s="43"/>
    </row>
    <row r="30" ht="15.75" customHeight="1">
      <c r="B30" s="44" t="s">
        <v>62</v>
      </c>
      <c r="C30" s="40"/>
      <c r="D30" s="40"/>
      <c r="E30" s="40"/>
      <c r="F30" s="40"/>
      <c r="G30" s="40"/>
      <c r="H30" s="43"/>
    </row>
    <row r="31" ht="15.75" customHeight="1">
      <c r="B31" s="45" t="s">
        <v>63</v>
      </c>
      <c r="C31" s="40"/>
      <c r="D31" s="40"/>
      <c r="E31" s="40"/>
      <c r="F31" s="40"/>
      <c r="G31" s="40"/>
      <c r="H31" s="43"/>
    </row>
    <row r="32" ht="15.75" customHeight="1">
      <c r="B32" s="46" t="s">
        <v>64</v>
      </c>
      <c r="C32" s="40"/>
      <c r="D32" s="40"/>
      <c r="E32" s="40"/>
      <c r="F32" s="40"/>
      <c r="G32" s="40"/>
      <c r="H32" s="43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7">
    <mergeCell ref="B1:H1"/>
    <mergeCell ref="B27:H27"/>
    <mergeCell ref="B28:H28"/>
    <mergeCell ref="B29:H29"/>
    <mergeCell ref="B30:H30"/>
    <mergeCell ref="B31:H31"/>
    <mergeCell ref="B32:H3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3" width="14.0"/>
    <col customWidth="1" min="24" max="29" width="8.71"/>
  </cols>
  <sheetData>
    <row r="1" ht="27.75" customHeight="1">
      <c r="B1" s="4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1"/>
    </row>
    <row r="2" ht="15.75" customHeight="1">
      <c r="B2" s="39" t="s">
        <v>66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1"/>
    </row>
    <row r="3" ht="7.5" customHeight="1"/>
    <row r="4" ht="36.0" customHeight="1">
      <c r="B4" s="48" t="s">
        <v>67</v>
      </c>
      <c r="C4" s="48" t="s">
        <v>68</v>
      </c>
      <c r="D4" s="48" t="s">
        <v>69</v>
      </c>
      <c r="E4" s="48" t="s">
        <v>70</v>
      </c>
      <c r="F4" s="48" t="s">
        <v>71</v>
      </c>
      <c r="G4" s="48" t="s">
        <v>72</v>
      </c>
      <c r="H4" s="49" t="s">
        <v>13</v>
      </c>
      <c r="I4" s="49" t="s">
        <v>18</v>
      </c>
      <c r="J4" s="49" t="s">
        <v>21</v>
      </c>
      <c r="K4" s="49" t="s">
        <v>25</v>
      </c>
      <c r="L4" s="49" t="s">
        <v>28</v>
      </c>
      <c r="M4" s="49" t="s">
        <v>32</v>
      </c>
      <c r="N4" s="49" t="s">
        <v>33</v>
      </c>
      <c r="O4" s="49" t="s">
        <v>37</v>
      </c>
      <c r="P4" s="49" t="s">
        <v>40</v>
      </c>
      <c r="Q4" s="49" t="s">
        <v>42</v>
      </c>
      <c r="R4" s="49" t="s">
        <v>44</v>
      </c>
      <c r="S4" s="49" t="s">
        <v>46</v>
      </c>
      <c r="T4" s="49" t="s">
        <v>48</v>
      </c>
      <c r="U4" s="50" t="s">
        <v>50</v>
      </c>
      <c r="V4" s="50" t="s">
        <v>73</v>
      </c>
      <c r="W4" s="49" t="s">
        <v>54</v>
      </c>
    </row>
    <row r="5" ht="22.5" customHeight="1">
      <c r="B5" s="51" t="s">
        <v>74</v>
      </c>
      <c r="C5" s="52">
        <f>Loans!$C$5</f>
        <v>110000</v>
      </c>
      <c r="D5" s="53">
        <f t="shared" ref="D5:D59" si="1">SUM(H5:W5)</f>
        <v>121055</v>
      </c>
      <c r="E5" s="53">
        <f>SUMIF('Monthly Expenses'!A:A, B5, 'Monthly Expenses'!C:C)</f>
        <v>1</v>
      </c>
      <c r="F5" s="54">
        <f t="shared" ref="F5:F59" si="2">C5-D5-E5</f>
        <v>-11056</v>
      </c>
      <c r="G5" s="55"/>
      <c r="H5" s="56">
        <v>26494.0</v>
      </c>
      <c r="I5" s="57">
        <v>11839.0</v>
      </c>
      <c r="J5" s="57">
        <v>15250.0</v>
      </c>
      <c r="K5" s="58">
        <v>18972.0</v>
      </c>
      <c r="L5" s="57">
        <v>5087.0</v>
      </c>
      <c r="M5" s="57">
        <v>5638.0</v>
      </c>
      <c r="N5" s="57">
        <v>3150.0</v>
      </c>
      <c r="O5" s="58">
        <v>2650.0</v>
      </c>
      <c r="P5" s="57">
        <v>2600.0</v>
      </c>
      <c r="Q5" s="57">
        <v>2680.0</v>
      </c>
      <c r="R5" s="57">
        <v>5390.0</v>
      </c>
      <c r="S5" s="57">
        <v>3235.0</v>
      </c>
      <c r="T5" s="57">
        <v>1230.0</v>
      </c>
      <c r="U5" s="57">
        <v>5920.0</v>
      </c>
      <c r="V5" s="57">
        <v>5920.0</v>
      </c>
      <c r="W5" s="57">
        <v>5000.0</v>
      </c>
    </row>
    <row r="6" ht="22.5" customHeight="1">
      <c r="B6" s="59" t="s">
        <v>38</v>
      </c>
      <c r="C6" s="52">
        <f>Loans!$C$5</f>
        <v>110000</v>
      </c>
      <c r="D6" s="60">
        <f t="shared" si="1"/>
        <v>121055</v>
      </c>
      <c r="E6" s="60">
        <f>SUMIF('Monthly Expenses'!A:A, B6, 'Monthly Expenses'!C:C)</f>
        <v>0</v>
      </c>
      <c r="F6" s="54">
        <f t="shared" si="2"/>
        <v>-11055</v>
      </c>
      <c r="G6" s="61" t="s">
        <v>75</v>
      </c>
      <c r="H6" s="56">
        <v>26494.0</v>
      </c>
      <c r="I6" s="56">
        <v>11839.0</v>
      </c>
      <c r="J6" s="56">
        <v>15250.0</v>
      </c>
      <c r="K6" s="62">
        <v>18972.0</v>
      </c>
      <c r="L6" s="56">
        <v>5087.0</v>
      </c>
      <c r="M6" s="56">
        <v>5638.0</v>
      </c>
      <c r="N6" s="56">
        <v>3150.0</v>
      </c>
      <c r="O6" s="63">
        <v>2650.0</v>
      </c>
      <c r="P6" s="56">
        <v>2600.0</v>
      </c>
      <c r="Q6" s="56">
        <v>2680.0</v>
      </c>
      <c r="R6" s="56">
        <v>5390.0</v>
      </c>
      <c r="S6" s="56">
        <v>3235.0</v>
      </c>
      <c r="T6" s="56">
        <v>1230.0</v>
      </c>
      <c r="U6" s="56">
        <v>5920.0</v>
      </c>
      <c r="V6" s="56">
        <v>5920.0</v>
      </c>
      <c r="W6" s="56">
        <v>5000.0</v>
      </c>
    </row>
    <row r="7" ht="22.5" customHeight="1">
      <c r="B7" s="51" t="s">
        <v>76</v>
      </c>
      <c r="C7" s="64">
        <f>Loans!$C$5</f>
        <v>110000</v>
      </c>
      <c r="D7" s="53">
        <f t="shared" si="1"/>
        <v>118405</v>
      </c>
      <c r="E7" s="53">
        <f>SUMIF('Monthly Expenses'!A:A, B7, 'Monthly Expenses'!C:C)</f>
        <v>0</v>
      </c>
      <c r="F7" s="54">
        <f t="shared" si="2"/>
        <v>-8405</v>
      </c>
      <c r="G7" s="55"/>
      <c r="H7" s="57">
        <v>26494.0</v>
      </c>
      <c r="I7" s="57">
        <v>11839.0</v>
      </c>
      <c r="J7" s="57">
        <v>15250.0</v>
      </c>
      <c r="K7" s="58">
        <v>18972.0</v>
      </c>
      <c r="L7" s="57">
        <v>5087.0</v>
      </c>
      <c r="M7" s="57">
        <v>5638.0</v>
      </c>
      <c r="N7" s="57">
        <v>3150.0</v>
      </c>
      <c r="O7" s="65"/>
      <c r="P7" s="57">
        <v>2600.0</v>
      </c>
      <c r="Q7" s="57">
        <v>2680.0</v>
      </c>
      <c r="R7" s="57">
        <v>5390.0</v>
      </c>
      <c r="S7" s="57">
        <v>3235.0</v>
      </c>
      <c r="T7" s="57">
        <v>1230.0</v>
      </c>
      <c r="U7" s="57">
        <v>5920.0</v>
      </c>
      <c r="V7" s="57">
        <v>5920.0</v>
      </c>
      <c r="W7" s="57">
        <v>5000.0</v>
      </c>
    </row>
    <row r="8" ht="22.5" customHeight="1">
      <c r="B8" s="66" t="s">
        <v>77</v>
      </c>
      <c r="C8" s="67">
        <f>Loans!$C$5</f>
        <v>110000</v>
      </c>
      <c r="D8" s="68">
        <f t="shared" si="1"/>
        <v>118405</v>
      </c>
      <c r="E8" s="68">
        <f>SUMIF('Monthly Expenses'!A:A, B8, 'Monthly Expenses'!C:C)</f>
        <v>0</v>
      </c>
      <c r="F8" s="54">
        <f t="shared" si="2"/>
        <v>-8405</v>
      </c>
      <c r="G8" s="69"/>
      <c r="H8" s="70">
        <v>26494.0</v>
      </c>
      <c r="I8" s="70">
        <v>11839.0</v>
      </c>
      <c r="J8" s="70">
        <v>15250.0</v>
      </c>
      <c r="K8" s="71">
        <v>18972.0</v>
      </c>
      <c r="L8" s="70">
        <v>5087.0</v>
      </c>
      <c r="M8" s="70">
        <v>5638.0</v>
      </c>
      <c r="N8" s="70">
        <v>3150.0</v>
      </c>
      <c r="O8" s="65"/>
      <c r="P8" s="70">
        <v>2600.0</v>
      </c>
      <c r="Q8" s="70">
        <v>2680.0</v>
      </c>
      <c r="R8" s="70">
        <v>5390.0</v>
      </c>
      <c r="S8" s="70">
        <v>3235.0</v>
      </c>
      <c r="T8" s="70">
        <v>1230.0</v>
      </c>
      <c r="U8" s="70">
        <v>5920.0</v>
      </c>
      <c r="V8" s="70">
        <v>5920.0</v>
      </c>
      <c r="W8" s="70">
        <v>5000.0</v>
      </c>
    </row>
    <row r="9" ht="22.5" customHeight="1">
      <c r="B9" s="59" t="s">
        <v>26</v>
      </c>
      <c r="C9" s="52">
        <f>Loans!$C$5</f>
        <v>110000</v>
      </c>
      <c r="D9" s="60">
        <f t="shared" si="1"/>
        <v>118405</v>
      </c>
      <c r="E9" s="60">
        <f>SUMIF('Monthly Expenses'!A:A, B9, 'Monthly Expenses'!C:C)</f>
        <v>0</v>
      </c>
      <c r="F9" s="54">
        <f t="shared" si="2"/>
        <v>-8405</v>
      </c>
      <c r="G9" s="61" t="s">
        <v>78</v>
      </c>
      <c r="H9" s="56">
        <v>26494.0</v>
      </c>
      <c r="I9" s="56">
        <v>11839.0</v>
      </c>
      <c r="J9" s="56">
        <v>15250.0</v>
      </c>
      <c r="K9" s="63">
        <v>18972.0</v>
      </c>
      <c r="L9" s="56">
        <v>5087.0</v>
      </c>
      <c r="M9" s="56">
        <v>5638.0</v>
      </c>
      <c r="N9" s="56">
        <v>3150.0</v>
      </c>
      <c r="O9" s="65"/>
      <c r="P9" s="56">
        <v>2600.0</v>
      </c>
      <c r="Q9" s="56">
        <v>2680.0</v>
      </c>
      <c r="R9" s="56">
        <v>5390.0</v>
      </c>
      <c r="S9" s="56">
        <v>3235.0</v>
      </c>
      <c r="T9" s="56">
        <v>1230.0</v>
      </c>
      <c r="U9" s="56">
        <v>5920.0</v>
      </c>
      <c r="V9" s="56">
        <v>5920.0</v>
      </c>
      <c r="W9" s="56">
        <v>5000.0</v>
      </c>
    </row>
    <row r="10" ht="22.5" customHeight="1">
      <c r="B10" s="66" t="s">
        <v>79</v>
      </c>
      <c r="C10" s="67">
        <f>Loans!$C$5</f>
        <v>110000</v>
      </c>
      <c r="D10" s="72">
        <f t="shared" si="1"/>
        <v>99433</v>
      </c>
      <c r="E10" s="72">
        <f>SUMIF('Monthly Expenses'!A:A, B10, 'Monthly Expenses'!C:C)</f>
        <v>0</v>
      </c>
      <c r="F10" s="73">
        <f t="shared" si="2"/>
        <v>10567</v>
      </c>
      <c r="G10" s="69"/>
      <c r="H10" s="70">
        <v>26494.0</v>
      </c>
      <c r="I10" s="70">
        <v>11839.0</v>
      </c>
      <c r="J10" s="70">
        <v>15250.0</v>
      </c>
      <c r="K10" s="65"/>
      <c r="L10" s="70">
        <v>5087.0</v>
      </c>
      <c r="M10" s="70">
        <v>5638.0</v>
      </c>
      <c r="N10" s="70">
        <v>3150.0</v>
      </c>
      <c r="O10" s="65"/>
      <c r="P10" s="70">
        <v>2600.0</v>
      </c>
      <c r="Q10" s="70">
        <v>2680.0</v>
      </c>
      <c r="R10" s="70">
        <v>5390.0</v>
      </c>
      <c r="S10" s="70">
        <v>3235.0</v>
      </c>
      <c r="T10" s="70">
        <v>1230.0</v>
      </c>
      <c r="U10" s="70">
        <v>5920.0</v>
      </c>
      <c r="V10" s="70">
        <v>5920.0</v>
      </c>
      <c r="W10" s="70">
        <v>5000.0</v>
      </c>
    </row>
    <row r="11" ht="22.5" customHeight="1">
      <c r="B11" s="51" t="s">
        <v>80</v>
      </c>
      <c r="C11" s="64">
        <f>Loans!$C$5</f>
        <v>110000</v>
      </c>
      <c r="D11" s="74">
        <f t="shared" si="1"/>
        <v>99433</v>
      </c>
      <c r="E11" s="74">
        <f>SUMIF('Monthly Expenses'!A:A, B11, 'Monthly Expenses'!C:C)</f>
        <v>0</v>
      </c>
      <c r="F11" s="75">
        <f t="shared" si="2"/>
        <v>10567</v>
      </c>
      <c r="G11" s="55"/>
      <c r="H11" s="57">
        <v>26494.0</v>
      </c>
      <c r="I11" s="57">
        <v>11839.0</v>
      </c>
      <c r="J11" s="57">
        <v>15250.0</v>
      </c>
      <c r="K11" s="65"/>
      <c r="L11" s="57">
        <v>5087.0</v>
      </c>
      <c r="M11" s="57">
        <v>5638.0</v>
      </c>
      <c r="N11" s="57">
        <v>3150.0</v>
      </c>
      <c r="O11" s="65"/>
      <c r="P11" s="57">
        <v>2600.0</v>
      </c>
      <c r="Q11" s="57">
        <v>2680.0</v>
      </c>
      <c r="R11" s="57">
        <v>5390.0</v>
      </c>
      <c r="S11" s="57">
        <v>3235.0</v>
      </c>
      <c r="T11" s="57">
        <v>1230.0</v>
      </c>
      <c r="U11" s="57">
        <v>5920.0</v>
      </c>
      <c r="V11" s="57">
        <v>5920.0</v>
      </c>
      <c r="W11" s="57">
        <v>5000.0</v>
      </c>
    </row>
    <row r="12" ht="22.5" customHeight="1">
      <c r="B12" s="66" t="s">
        <v>81</v>
      </c>
      <c r="C12" s="67">
        <f>Loans!$C$5</f>
        <v>110000</v>
      </c>
      <c r="D12" s="72">
        <f t="shared" si="1"/>
        <v>99433</v>
      </c>
      <c r="E12" s="72">
        <f>SUMIF('Monthly Expenses'!A:A, B12, 'Monthly Expenses'!C:C)</f>
        <v>0</v>
      </c>
      <c r="F12" s="73">
        <f t="shared" si="2"/>
        <v>10567</v>
      </c>
      <c r="G12" s="69"/>
      <c r="H12" s="70">
        <v>26494.0</v>
      </c>
      <c r="I12" s="70">
        <v>11839.0</v>
      </c>
      <c r="J12" s="70">
        <v>15250.0</v>
      </c>
      <c r="K12" s="65"/>
      <c r="L12" s="70">
        <v>5087.0</v>
      </c>
      <c r="M12" s="70">
        <v>5638.0</v>
      </c>
      <c r="N12" s="70">
        <v>3150.0</v>
      </c>
      <c r="O12" s="65"/>
      <c r="P12" s="70">
        <v>2600.0</v>
      </c>
      <c r="Q12" s="70">
        <v>2680.0</v>
      </c>
      <c r="R12" s="70">
        <v>5390.0</v>
      </c>
      <c r="S12" s="70">
        <v>3235.0</v>
      </c>
      <c r="T12" s="70">
        <v>1230.0</v>
      </c>
      <c r="U12" s="70">
        <v>5920.0</v>
      </c>
      <c r="V12" s="70">
        <v>5920.0</v>
      </c>
      <c r="W12" s="70">
        <v>5000.0</v>
      </c>
    </row>
    <row r="13" ht="22.5" customHeight="1">
      <c r="B13" s="59" t="s">
        <v>49</v>
      </c>
      <c r="C13" s="52">
        <f>Loans!$C$5</f>
        <v>110000</v>
      </c>
      <c r="D13" s="76">
        <f t="shared" si="1"/>
        <v>99433</v>
      </c>
      <c r="E13" s="76">
        <f>SUMIF('Monthly Expenses'!A:A, B13, 'Monthly Expenses'!C:C)</f>
        <v>0</v>
      </c>
      <c r="F13" s="77">
        <f t="shared" si="2"/>
        <v>10567</v>
      </c>
      <c r="G13" s="61" t="s">
        <v>82</v>
      </c>
      <c r="H13" s="56">
        <v>26494.0</v>
      </c>
      <c r="I13" s="56">
        <v>11839.0</v>
      </c>
      <c r="J13" s="56">
        <v>15250.0</v>
      </c>
      <c r="K13" s="65"/>
      <c r="L13" s="56">
        <v>5087.0</v>
      </c>
      <c r="M13" s="56">
        <v>5638.0</v>
      </c>
      <c r="N13" s="56">
        <v>3150.0</v>
      </c>
      <c r="O13" s="65"/>
      <c r="P13" s="56">
        <v>2600.0</v>
      </c>
      <c r="Q13" s="56">
        <v>2680.0</v>
      </c>
      <c r="R13" s="56">
        <v>5390.0</v>
      </c>
      <c r="S13" s="56">
        <v>3235.0</v>
      </c>
      <c r="T13" s="78">
        <v>1230.0</v>
      </c>
      <c r="U13" s="56">
        <v>5920.0</v>
      </c>
      <c r="V13" s="56">
        <v>5920.0</v>
      </c>
      <c r="W13" s="56">
        <v>5000.0</v>
      </c>
    </row>
    <row r="14" ht="22.5" customHeight="1">
      <c r="B14" s="59" t="s">
        <v>35</v>
      </c>
      <c r="C14" s="52">
        <f>Loans!$C$5</f>
        <v>110000</v>
      </c>
      <c r="D14" s="76">
        <f t="shared" si="1"/>
        <v>98203</v>
      </c>
      <c r="E14" s="76">
        <f>SUMIF('Monthly Expenses'!A:A, B14, 'Monthly Expenses'!C:C)</f>
        <v>0</v>
      </c>
      <c r="F14" s="77">
        <f t="shared" si="2"/>
        <v>11797</v>
      </c>
      <c r="G14" s="61" t="s">
        <v>83</v>
      </c>
      <c r="H14" s="56">
        <v>26494.0</v>
      </c>
      <c r="I14" s="56">
        <v>11839.0</v>
      </c>
      <c r="J14" s="56">
        <v>15250.0</v>
      </c>
      <c r="K14" s="65"/>
      <c r="L14" s="56">
        <v>5087.0</v>
      </c>
      <c r="M14" s="56">
        <v>5638.0</v>
      </c>
      <c r="N14" s="78">
        <v>3150.0</v>
      </c>
      <c r="O14" s="65"/>
      <c r="P14" s="56">
        <v>2600.0</v>
      </c>
      <c r="Q14" s="56">
        <v>2680.0</v>
      </c>
      <c r="R14" s="56">
        <v>5390.0</v>
      </c>
      <c r="S14" s="56">
        <v>3235.0</v>
      </c>
      <c r="T14" s="79"/>
      <c r="U14" s="56">
        <v>5920.0</v>
      </c>
      <c r="V14" s="56">
        <v>5920.0</v>
      </c>
      <c r="W14" s="56">
        <v>5000.0</v>
      </c>
    </row>
    <row r="15" ht="22.5" customHeight="1">
      <c r="B15" s="51" t="s">
        <v>84</v>
      </c>
      <c r="C15" s="64">
        <f>Loans!$C$5</f>
        <v>110000</v>
      </c>
      <c r="D15" s="74">
        <f t="shared" si="1"/>
        <v>95053</v>
      </c>
      <c r="E15" s="74">
        <f>SUMIF('Monthly Expenses'!A:A, B15, 'Monthly Expenses'!C:C)</f>
        <v>0</v>
      </c>
      <c r="F15" s="75">
        <f t="shared" si="2"/>
        <v>14947</v>
      </c>
      <c r="G15" s="55"/>
      <c r="H15" s="57">
        <v>26494.0</v>
      </c>
      <c r="I15" s="57">
        <v>11839.0</v>
      </c>
      <c r="J15" s="57">
        <v>15250.0</v>
      </c>
      <c r="K15" s="65"/>
      <c r="L15" s="57">
        <v>5087.0</v>
      </c>
      <c r="M15" s="57">
        <v>5638.0</v>
      </c>
      <c r="N15" s="79"/>
      <c r="O15" s="65"/>
      <c r="P15" s="57">
        <v>2600.0</v>
      </c>
      <c r="Q15" s="57">
        <v>2680.0</v>
      </c>
      <c r="R15" s="57">
        <v>5390.0</v>
      </c>
      <c r="S15" s="57">
        <v>3235.0</v>
      </c>
      <c r="T15" s="79"/>
      <c r="U15" s="57">
        <v>5920.0</v>
      </c>
      <c r="V15" s="57">
        <v>5920.0</v>
      </c>
      <c r="W15" s="57">
        <v>5000.0</v>
      </c>
    </row>
    <row r="16" ht="22.5" customHeight="1">
      <c r="B16" s="66" t="s">
        <v>85</v>
      </c>
      <c r="C16" s="67">
        <f>Loans!$C$5</f>
        <v>110000</v>
      </c>
      <c r="D16" s="72">
        <f t="shared" si="1"/>
        <v>95053</v>
      </c>
      <c r="E16" s="72">
        <f>SUMIF('Monthly Expenses'!A:A, B16, 'Monthly Expenses'!C:C)</f>
        <v>0</v>
      </c>
      <c r="F16" s="73">
        <f t="shared" si="2"/>
        <v>14947</v>
      </c>
      <c r="G16" s="69"/>
      <c r="H16" s="70">
        <v>26494.0</v>
      </c>
      <c r="I16" s="70">
        <v>11839.0</v>
      </c>
      <c r="J16" s="70">
        <v>15250.0</v>
      </c>
      <c r="K16" s="65"/>
      <c r="L16" s="70">
        <v>5087.0</v>
      </c>
      <c r="M16" s="70">
        <v>5638.0</v>
      </c>
      <c r="N16" s="79"/>
      <c r="O16" s="65"/>
      <c r="P16" s="70">
        <v>2600.0</v>
      </c>
      <c r="Q16" s="70">
        <v>2680.0</v>
      </c>
      <c r="R16" s="70">
        <v>5390.0</v>
      </c>
      <c r="S16" s="70">
        <v>3235.0</v>
      </c>
      <c r="T16" s="79"/>
      <c r="U16" s="70">
        <v>5920.0</v>
      </c>
      <c r="V16" s="70">
        <v>5920.0</v>
      </c>
      <c r="W16" s="70">
        <v>5000.0</v>
      </c>
    </row>
    <row r="17" ht="22.5" customHeight="1">
      <c r="B17" s="80" t="s">
        <v>86</v>
      </c>
      <c r="C17" s="81">
        <f>Loans!$C$5</f>
        <v>110000</v>
      </c>
      <c r="D17" s="82">
        <f t="shared" si="1"/>
        <v>95053</v>
      </c>
      <c r="E17" s="82">
        <f>SUMIF('Monthly Expenses'!A:A, B17, 'Monthly Expenses'!C:C)</f>
        <v>0</v>
      </c>
      <c r="F17" s="83">
        <f t="shared" si="2"/>
        <v>14947</v>
      </c>
      <c r="G17" s="84" t="s">
        <v>87</v>
      </c>
      <c r="H17" s="85">
        <v>26494.0</v>
      </c>
      <c r="I17" s="85">
        <v>11839.0</v>
      </c>
      <c r="J17" s="85">
        <v>15250.0</v>
      </c>
      <c r="K17" s="65"/>
      <c r="L17" s="85">
        <v>5087.0</v>
      </c>
      <c r="M17" s="85">
        <v>5638.0</v>
      </c>
      <c r="N17" s="79"/>
      <c r="O17" s="65"/>
      <c r="P17" s="85">
        <v>2600.0</v>
      </c>
      <c r="Q17" s="85">
        <v>2680.0</v>
      </c>
      <c r="R17" s="85">
        <v>5390.0</v>
      </c>
      <c r="S17" s="85">
        <v>3235.0</v>
      </c>
      <c r="T17" s="79"/>
      <c r="U17" s="85">
        <v>5920.0</v>
      </c>
      <c r="V17" s="85">
        <v>5920.0</v>
      </c>
      <c r="W17" s="85">
        <v>5000.0</v>
      </c>
    </row>
    <row r="18" ht="22.5" customHeight="1">
      <c r="B18" s="86" t="s">
        <v>30</v>
      </c>
      <c r="C18" s="87">
        <f>Loans!$C$5</f>
        <v>110000</v>
      </c>
      <c r="D18" s="88">
        <f t="shared" si="1"/>
        <v>95053</v>
      </c>
      <c r="E18" s="88">
        <f>SUMIF('Monthly Expenses'!A:A, B18, 'Monthly Expenses'!C:C)</f>
        <v>0</v>
      </c>
      <c r="F18" s="89">
        <f t="shared" si="2"/>
        <v>14947</v>
      </c>
      <c r="G18" s="90" t="s">
        <v>88</v>
      </c>
      <c r="H18" s="91">
        <v>26494.0</v>
      </c>
      <c r="I18" s="91">
        <v>11839.0</v>
      </c>
      <c r="J18" s="91">
        <v>15250.0</v>
      </c>
      <c r="K18" s="65"/>
      <c r="L18" s="78">
        <v>5087.0</v>
      </c>
      <c r="M18" s="78">
        <v>5638.0</v>
      </c>
      <c r="N18" s="79"/>
      <c r="O18" s="65"/>
      <c r="P18" s="91">
        <v>2600.0</v>
      </c>
      <c r="Q18" s="91">
        <v>2680.0</v>
      </c>
      <c r="R18" s="91">
        <v>5390.0</v>
      </c>
      <c r="S18" s="91">
        <v>3235.0</v>
      </c>
      <c r="T18" s="79"/>
      <c r="U18" s="91">
        <v>5920.0</v>
      </c>
      <c r="V18" s="91">
        <v>5920.0</v>
      </c>
      <c r="W18" s="91">
        <v>5000.0</v>
      </c>
    </row>
    <row r="19" ht="22.5" customHeight="1">
      <c r="B19" s="51" t="s">
        <v>89</v>
      </c>
      <c r="C19" s="64">
        <f>Loans!$C$5</f>
        <v>110000</v>
      </c>
      <c r="D19" s="74">
        <f t="shared" si="1"/>
        <v>84328</v>
      </c>
      <c r="E19" s="74">
        <f>SUMIF('Monthly Expenses'!A:A, B19, 'Monthly Expenses'!C:C)</f>
        <v>0</v>
      </c>
      <c r="F19" s="75">
        <f t="shared" si="2"/>
        <v>25672</v>
      </c>
      <c r="G19" s="55"/>
      <c r="H19" s="57">
        <v>26494.0</v>
      </c>
      <c r="I19" s="57">
        <v>11839.0</v>
      </c>
      <c r="J19" s="57">
        <v>15250.0</v>
      </c>
      <c r="K19" s="65"/>
      <c r="L19" s="79"/>
      <c r="M19" s="79"/>
      <c r="N19" s="79"/>
      <c r="O19" s="65"/>
      <c r="P19" s="57">
        <v>2600.0</v>
      </c>
      <c r="Q19" s="57">
        <v>2680.0</v>
      </c>
      <c r="R19" s="57">
        <v>5390.0</v>
      </c>
      <c r="S19" s="57">
        <v>3235.0</v>
      </c>
      <c r="T19" s="79"/>
      <c r="U19" s="57">
        <v>5920.0</v>
      </c>
      <c r="V19" s="57">
        <v>5920.0</v>
      </c>
      <c r="W19" s="57">
        <v>5000.0</v>
      </c>
    </row>
    <row r="20" ht="15.75" customHeight="1">
      <c r="B20" s="66" t="s">
        <v>90</v>
      </c>
      <c r="C20" s="67">
        <f>Loans!$C$5</f>
        <v>110000</v>
      </c>
      <c r="D20" s="72">
        <f t="shared" si="1"/>
        <v>84328</v>
      </c>
      <c r="E20" s="72">
        <f>SUMIF('Monthly Expenses'!A:A, B20, 'Monthly Expenses'!C:C)</f>
        <v>0</v>
      </c>
      <c r="F20" s="73">
        <f t="shared" si="2"/>
        <v>25672</v>
      </c>
      <c r="G20" s="69"/>
      <c r="H20" s="70">
        <v>26494.0</v>
      </c>
      <c r="I20" s="70">
        <v>11839.0</v>
      </c>
      <c r="J20" s="70">
        <v>15250.0</v>
      </c>
      <c r="K20" s="65"/>
      <c r="L20" s="79"/>
      <c r="M20" s="79"/>
      <c r="N20" s="79"/>
      <c r="O20" s="65"/>
      <c r="P20" s="70">
        <v>2600.0</v>
      </c>
      <c r="Q20" s="70">
        <v>2680.0</v>
      </c>
      <c r="R20" s="70">
        <v>5390.0</v>
      </c>
      <c r="S20" s="70">
        <v>3235.0</v>
      </c>
      <c r="T20" s="79"/>
      <c r="U20" s="70">
        <v>5920.0</v>
      </c>
      <c r="V20" s="70">
        <v>5920.0</v>
      </c>
      <c r="W20" s="70">
        <v>5000.0</v>
      </c>
    </row>
    <row r="21" ht="15.75" customHeight="1">
      <c r="B21" s="59" t="s">
        <v>47</v>
      </c>
      <c r="C21" s="52">
        <f>Loans!$C$5</f>
        <v>110000</v>
      </c>
      <c r="D21" s="76">
        <f t="shared" si="1"/>
        <v>84328</v>
      </c>
      <c r="E21" s="76">
        <f>SUMIF('Monthly Expenses'!A:A, B21, 'Monthly Expenses'!C:C)</f>
        <v>0</v>
      </c>
      <c r="F21" s="77">
        <f t="shared" si="2"/>
        <v>25672</v>
      </c>
      <c r="G21" s="61" t="s">
        <v>91</v>
      </c>
      <c r="H21" s="56">
        <v>26494.0</v>
      </c>
      <c r="I21" s="56">
        <v>11839.0</v>
      </c>
      <c r="J21" s="56">
        <v>15250.0</v>
      </c>
      <c r="K21" s="65"/>
      <c r="L21" s="79"/>
      <c r="M21" s="79"/>
      <c r="N21" s="79"/>
      <c r="O21" s="65"/>
      <c r="P21" s="56">
        <v>2600.0</v>
      </c>
      <c r="Q21" s="56">
        <v>2680.0</v>
      </c>
      <c r="R21" s="56">
        <v>5390.0</v>
      </c>
      <c r="S21" s="78">
        <v>3235.0</v>
      </c>
      <c r="T21" s="79"/>
      <c r="U21" s="56">
        <v>5920.0</v>
      </c>
      <c r="V21" s="56">
        <v>5920.0</v>
      </c>
      <c r="W21" s="56">
        <v>5000.0</v>
      </c>
    </row>
    <row r="22" ht="15.75" customHeight="1">
      <c r="B22" s="66" t="s">
        <v>92</v>
      </c>
      <c r="C22" s="67">
        <f>Loans!$C$5</f>
        <v>110000</v>
      </c>
      <c r="D22" s="72">
        <f t="shared" si="1"/>
        <v>81093</v>
      </c>
      <c r="E22" s="72">
        <f>SUMIF('Monthly Expenses'!A:A, B22, 'Monthly Expenses'!C:C)</f>
        <v>0</v>
      </c>
      <c r="F22" s="73">
        <f t="shared" si="2"/>
        <v>28907</v>
      </c>
      <c r="G22" s="69"/>
      <c r="H22" s="70">
        <v>26494.0</v>
      </c>
      <c r="I22" s="70">
        <v>11839.0</v>
      </c>
      <c r="J22" s="70">
        <v>15250.0</v>
      </c>
      <c r="K22" s="65"/>
      <c r="L22" s="79"/>
      <c r="M22" s="79"/>
      <c r="N22" s="79"/>
      <c r="O22" s="65"/>
      <c r="P22" s="70">
        <v>2600.0</v>
      </c>
      <c r="Q22" s="70">
        <v>2680.0</v>
      </c>
      <c r="R22" s="70">
        <v>5390.0</v>
      </c>
      <c r="S22" s="79"/>
      <c r="T22" s="79"/>
      <c r="U22" s="70">
        <v>5920.0</v>
      </c>
      <c r="V22" s="70">
        <v>5920.0</v>
      </c>
      <c r="W22" s="70">
        <v>5000.0</v>
      </c>
    </row>
    <row r="23" ht="15.75" customHeight="1">
      <c r="B23" s="51" t="s">
        <v>93</v>
      </c>
      <c r="C23" s="64">
        <f>Loans!$C$5</f>
        <v>110000</v>
      </c>
      <c r="D23" s="74">
        <f t="shared" si="1"/>
        <v>81093</v>
      </c>
      <c r="E23" s="74">
        <f>SUMIF('Monthly Expenses'!A:A, B23, 'Monthly Expenses'!C:C)</f>
        <v>0</v>
      </c>
      <c r="F23" s="75">
        <f t="shared" si="2"/>
        <v>28907</v>
      </c>
      <c r="G23" s="55"/>
      <c r="H23" s="57">
        <v>26494.0</v>
      </c>
      <c r="I23" s="57">
        <v>11839.0</v>
      </c>
      <c r="J23" s="57">
        <v>15250.0</v>
      </c>
      <c r="K23" s="65"/>
      <c r="L23" s="79"/>
      <c r="M23" s="79"/>
      <c r="N23" s="79"/>
      <c r="O23" s="65"/>
      <c r="P23" s="57">
        <v>2600.0</v>
      </c>
      <c r="Q23" s="57">
        <v>2680.0</v>
      </c>
      <c r="R23" s="57">
        <v>5390.0</v>
      </c>
      <c r="S23" s="79"/>
      <c r="T23" s="79"/>
      <c r="U23" s="57">
        <v>5920.0</v>
      </c>
      <c r="V23" s="57">
        <v>5920.0</v>
      </c>
      <c r="W23" s="57">
        <v>5000.0</v>
      </c>
    </row>
    <row r="24" ht="15.75" customHeight="1">
      <c r="B24" s="86" t="s">
        <v>19</v>
      </c>
      <c r="C24" s="87">
        <f>Loans!$C$5</f>
        <v>110000</v>
      </c>
      <c r="D24" s="88">
        <f t="shared" si="1"/>
        <v>81093</v>
      </c>
      <c r="E24" s="88">
        <f>SUMIF('Monthly Expenses'!A:A, B24, 'Monthly Expenses'!C:C)</f>
        <v>0</v>
      </c>
      <c r="F24" s="89">
        <f t="shared" si="2"/>
        <v>28907</v>
      </c>
      <c r="G24" s="90" t="s">
        <v>94</v>
      </c>
      <c r="H24" s="91">
        <v>26494.0</v>
      </c>
      <c r="I24" s="78">
        <v>11839.0</v>
      </c>
      <c r="J24" s="91">
        <v>15250.0</v>
      </c>
      <c r="K24" s="65"/>
      <c r="L24" s="79"/>
      <c r="M24" s="79"/>
      <c r="N24" s="79"/>
      <c r="O24" s="65"/>
      <c r="P24" s="91">
        <v>2600.0</v>
      </c>
      <c r="Q24" s="91">
        <v>2680.0</v>
      </c>
      <c r="R24" s="78">
        <v>5390.0</v>
      </c>
      <c r="S24" s="79"/>
      <c r="T24" s="79"/>
      <c r="U24" s="91">
        <v>5920.0</v>
      </c>
      <c r="V24" s="91">
        <v>5920.0</v>
      </c>
      <c r="W24" s="91">
        <v>5000.0</v>
      </c>
    </row>
    <row r="25" ht="15.75" customHeight="1">
      <c r="B25" s="51" t="s">
        <v>95</v>
      </c>
      <c r="C25" s="64">
        <f>Loans!$C$5</f>
        <v>110000</v>
      </c>
      <c r="D25" s="74">
        <f t="shared" si="1"/>
        <v>63864</v>
      </c>
      <c r="E25" s="74">
        <f>SUMIF('Monthly Expenses'!A:A, B25, 'Monthly Expenses'!C:C)</f>
        <v>0</v>
      </c>
      <c r="F25" s="75">
        <f t="shared" si="2"/>
        <v>46136</v>
      </c>
      <c r="G25" s="55"/>
      <c r="H25" s="57">
        <v>26494.0</v>
      </c>
      <c r="I25" s="79"/>
      <c r="J25" s="57">
        <v>15250.0</v>
      </c>
      <c r="K25" s="65"/>
      <c r="L25" s="79"/>
      <c r="M25" s="79"/>
      <c r="N25" s="79"/>
      <c r="O25" s="65"/>
      <c r="P25" s="57">
        <v>2600.0</v>
      </c>
      <c r="Q25" s="57">
        <v>2680.0</v>
      </c>
      <c r="R25" s="79"/>
      <c r="S25" s="79"/>
      <c r="T25" s="79"/>
      <c r="U25" s="57">
        <v>5920.0</v>
      </c>
      <c r="V25" s="57">
        <v>5920.0</v>
      </c>
      <c r="W25" s="57">
        <v>5000.0</v>
      </c>
    </row>
    <row r="26" ht="15.75" customHeight="1">
      <c r="B26" s="59" t="s">
        <v>41</v>
      </c>
      <c r="C26" s="52">
        <f>Loans!$C$5</f>
        <v>110000</v>
      </c>
      <c r="D26" s="76">
        <f t="shared" si="1"/>
        <v>63864</v>
      </c>
      <c r="E26" s="76">
        <f>SUMIF('Monthly Expenses'!A:A, B26, 'Monthly Expenses'!C:C)</f>
        <v>0</v>
      </c>
      <c r="F26" s="77">
        <f t="shared" si="2"/>
        <v>46136</v>
      </c>
      <c r="G26" s="61" t="s">
        <v>96</v>
      </c>
      <c r="H26" s="56">
        <v>26494.0</v>
      </c>
      <c r="I26" s="79"/>
      <c r="J26" s="56">
        <v>15250.0</v>
      </c>
      <c r="K26" s="65"/>
      <c r="L26" s="79"/>
      <c r="M26" s="79"/>
      <c r="N26" s="79"/>
      <c r="O26" s="65"/>
      <c r="P26" s="78">
        <v>2600.0</v>
      </c>
      <c r="Q26" s="56">
        <v>2680.0</v>
      </c>
      <c r="R26" s="79"/>
      <c r="S26" s="79"/>
      <c r="T26" s="79"/>
      <c r="U26" s="56">
        <v>5920.0</v>
      </c>
      <c r="V26" s="56">
        <v>5920.0</v>
      </c>
      <c r="W26" s="56">
        <v>5000.0</v>
      </c>
    </row>
    <row r="27" ht="15.75" customHeight="1">
      <c r="B27" s="59" t="s">
        <v>43</v>
      </c>
      <c r="C27" s="52">
        <f>Loans!$C$5</f>
        <v>110000</v>
      </c>
      <c r="D27" s="76">
        <f t="shared" si="1"/>
        <v>61264</v>
      </c>
      <c r="E27" s="76">
        <f>SUMIF('Monthly Expenses'!A:A, B27, 'Monthly Expenses'!C:C)</f>
        <v>0</v>
      </c>
      <c r="F27" s="77">
        <f t="shared" si="2"/>
        <v>48736</v>
      </c>
      <c r="G27" s="61" t="s">
        <v>97</v>
      </c>
      <c r="H27" s="56">
        <v>26494.0</v>
      </c>
      <c r="I27" s="79"/>
      <c r="J27" s="56">
        <v>15250.0</v>
      </c>
      <c r="K27" s="65"/>
      <c r="L27" s="79"/>
      <c r="M27" s="79"/>
      <c r="N27" s="79"/>
      <c r="O27" s="65"/>
      <c r="P27" s="79"/>
      <c r="Q27" s="78">
        <v>2680.0</v>
      </c>
      <c r="R27" s="79"/>
      <c r="S27" s="79"/>
      <c r="T27" s="79"/>
      <c r="U27" s="56">
        <v>5920.0</v>
      </c>
      <c r="V27" s="56">
        <v>5920.0</v>
      </c>
      <c r="W27" s="56">
        <v>5000.0</v>
      </c>
    </row>
    <row r="28" ht="15.75" customHeight="1">
      <c r="B28" s="66" t="s">
        <v>98</v>
      </c>
      <c r="C28" s="67">
        <f>Loans!$C$5</f>
        <v>110000</v>
      </c>
      <c r="D28" s="72">
        <f t="shared" si="1"/>
        <v>58584</v>
      </c>
      <c r="E28" s="72">
        <f>SUMIF('Monthly Expenses'!A:A, B28, 'Monthly Expenses'!C:C)</f>
        <v>0</v>
      </c>
      <c r="F28" s="73">
        <f t="shared" si="2"/>
        <v>51416</v>
      </c>
      <c r="G28" s="69"/>
      <c r="H28" s="70">
        <v>26494.0</v>
      </c>
      <c r="I28" s="79"/>
      <c r="J28" s="70">
        <v>15250.0</v>
      </c>
      <c r="K28" s="65"/>
      <c r="L28" s="79"/>
      <c r="M28" s="79"/>
      <c r="N28" s="79"/>
      <c r="O28" s="65"/>
      <c r="P28" s="79"/>
      <c r="Q28" s="79"/>
      <c r="R28" s="79"/>
      <c r="S28" s="79"/>
      <c r="T28" s="79"/>
      <c r="U28" s="70">
        <v>5920.0</v>
      </c>
      <c r="V28" s="70">
        <v>5920.0</v>
      </c>
      <c r="W28" s="70">
        <v>5000.0</v>
      </c>
    </row>
    <row r="29" ht="15.75" customHeight="1">
      <c r="B29" s="59" t="s">
        <v>51</v>
      </c>
      <c r="C29" s="52">
        <f>Loans!$C$5</f>
        <v>110000</v>
      </c>
      <c r="D29" s="76">
        <f t="shared" si="1"/>
        <v>58584</v>
      </c>
      <c r="E29" s="76">
        <f>SUMIF('Monthly Expenses'!A:A, B29, 'Monthly Expenses'!C:C)</f>
        <v>0</v>
      </c>
      <c r="F29" s="77">
        <f t="shared" si="2"/>
        <v>51416</v>
      </c>
      <c r="G29" s="61" t="s">
        <v>99</v>
      </c>
      <c r="H29" s="56">
        <v>26494.0</v>
      </c>
      <c r="I29" s="79"/>
      <c r="J29" s="56">
        <v>15250.0</v>
      </c>
      <c r="K29" s="65"/>
      <c r="L29" s="79"/>
      <c r="M29" s="79"/>
      <c r="N29" s="79"/>
      <c r="O29" s="65"/>
      <c r="P29" s="79"/>
      <c r="Q29" s="79"/>
      <c r="R29" s="79"/>
      <c r="S29" s="79"/>
      <c r="T29" s="79"/>
      <c r="U29" s="78">
        <v>5920.0</v>
      </c>
      <c r="V29" s="78">
        <v>5920.0</v>
      </c>
      <c r="W29" s="56">
        <v>5000.0</v>
      </c>
    </row>
    <row r="30" ht="15.75" customHeight="1">
      <c r="B30" s="66" t="s">
        <v>100</v>
      </c>
      <c r="C30" s="67">
        <f>Loans!$C$5</f>
        <v>110000</v>
      </c>
      <c r="D30" s="72">
        <f t="shared" si="1"/>
        <v>46744</v>
      </c>
      <c r="E30" s="72">
        <f>SUMIF('Monthly Expenses'!A:A, B30, 'Monthly Expenses'!C:C)</f>
        <v>0</v>
      </c>
      <c r="F30" s="73">
        <f t="shared" si="2"/>
        <v>63256</v>
      </c>
      <c r="G30" s="69"/>
      <c r="H30" s="70">
        <v>26494.0</v>
      </c>
      <c r="I30" s="79"/>
      <c r="J30" s="70">
        <v>15250.0</v>
      </c>
      <c r="K30" s="65"/>
      <c r="L30" s="79"/>
      <c r="M30" s="79"/>
      <c r="N30" s="79"/>
      <c r="O30" s="65"/>
      <c r="P30" s="79"/>
      <c r="Q30" s="79"/>
      <c r="R30" s="79"/>
      <c r="S30" s="79"/>
      <c r="T30" s="79"/>
      <c r="U30" s="79"/>
      <c r="V30" s="79"/>
      <c r="W30" s="70">
        <v>5000.0</v>
      </c>
    </row>
    <row r="31" ht="15.75" customHeight="1">
      <c r="B31" s="51" t="s">
        <v>101</v>
      </c>
      <c r="C31" s="64">
        <f>Loans!$C$5</f>
        <v>110000</v>
      </c>
      <c r="D31" s="74">
        <f t="shared" si="1"/>
        <v>46744</v>
      </c>
      <c r="E31" s="74">
        <f>SUMIF('Monthly Expenses'!A:A, B31, 'Monthly Expenses'!C:C)</f>
        <v>0</v>
      </c>
      <c r="F31" s="75">
        <f t="shared" si="2"/>
        <v>63256</v>
      </c>
      <c r="G31" s="55"/>
      <c r="H31" s="57">
        <v>26494.0</v>
      </c>
      <c r="I31" s="79"/>
      <c r="J31" s="57">
        <v>15250.0</v>
      </c>
      <c r="K31" s="65"/>
      <c r="L31" s="79"/>
      <c r="M31" s="79"/>
      <c r="N31" s="79"/>
      <c r="O31" s="65"/>
      <c r="P31" s="79"/>
      <c r="Q31" s="79"/>
      <c r="R31" s="79"/>
      <c r="S31" s="79"/>
      <c r="T31" s="79"/>
      <c r="U31" s="79"/>
      <c r="V31" s="79"/>
      <c r="W31" s="57">
        <v>5000.0</v>
      </c>
    </row>
    <row r="32" ht="15.75" customHeight="1">
      <c r="B32" s="66" t="s">
        <v>102</v>
      </c>
      <c r="C32" s="67">
        <f>Loans!$C$5</f>
        <v>110000</v>
      </c>
      <c r="D32" s="72">
        <f t="shared" si="1"/>
        <v>46744</v>
      </c>
      <c r="E32" s="72">
        <f>SUMIF('Monthly Expenses'!A:A, B32, 'Monthly Expenses'!C:C)</f>
        <v>0</v>
      </c>
      <c r="F32" s="73">
        <f t="shared" si="2"/>
        <v>63256</v>
      </c>
      <c r="G32" s="69"/>
      <c r="H32" s="70">
        <v>26494.0</v>
      </c>
      <c r="I32" s="79"/>
      <c r="J32" s="70">
        <v>15250.0</v>
      </c>
      <c r="K32" s="65"/>
      <c r="L32" s="79"/>
      <c r="M32" s="79"/>
      <c r="N32" s="79"/>
      <c r="O32" s="65"/>
      <c r="P32" s="79"/>
      <c r="Q32" s="79"/>
      <c r="R32" s="79"/>
      <c r="S32" s="79"/>
      <c r="T32" s="79"/>
      <c r="U32" s="79"/>
      <c r="V32" s="79"/>
      <c r="W32" s="70">
        <v>5000.0</v>
      </c>
    </row>
    <row r="33" ht="15.75" customHeight="1">
      <c r="B33" s="51" t="s">
        <v>103</v>
      </c>
      <c r="C33" s="64">
        <f>Loans!$C$5</f>
        <v>110000</v>
      </c>
      <c r="D33" s="74">
        <f t="shared" si="1"/>
        <v>46744</v>
      </c>
      <c r="E33" s="74">
        <f>SUMIF('Monthly Expenses'!A:A, B33, 'Monthly Expenses'!C:C)</f>
        <v>0</v>
      </c>
      <c r="F33" s="75">
        <f t="shared" si="2"/>
        <v>63256</v>
      </c>
      <c r="G33" s="55"/>
      <c r="H33" s="57">
        <v>26494.0</v>
      </c>
      <c r="I33" s="79"/>
      <c r="J33" s="57">
        <v>15250.0</v>
      </c>
      <c r="K33" s="65"/>
      <c r="L33" s="79"/>
      <c r="M33" s="79"/>
      <c r="N33" s="79"/>
      <c r="O33" s="65"/>
      <c r="P33" s="79"/>
      <c r="Q33" s="79"/>
      <c r="R33" s="79"/>
      <c r="S33" s="79"/>
      <c r="T33" s="79"/>
      <c r="U33" s="79"/>
      <c r="V33" s="79"/>
      <c r="W33" s="57">
        <v>5000.0</v>
      </c>
    </row>
    <row r="34" ht="15.75" customHeight="1">
      <c r="B34" s="66" t="s">
        <v>104</v>
      </c>
      <c r="C34" s="67">
        <f>Loans!$C$5</f>
        <v>110000</v>
      </c>
      <c r="D34" s="72">
        <f t="shared" si="1"/>
        <v>46744</v>
      </c>
      <c r="E34" s="72">
        <f>SUMIF('Monthly Expenses'!A:A, B34, 'Monthly Expenses'!C:C)</f>
        <v>0</v>
      </c>
      <c r="F34" s="73">
        <f t="shared" si="2"/>
        <v>63256</v>
      </c>
      <c r="G34" s="69"/>
      <c r="H34" s="70">
        <v>26494.0</v>
      </c>
      <c r="I34" s="79"/>
      <c r="J34" s="70">
        <v>15250.0</v>
      </c>
      <c r="K34" s="65"/>
      <c r="L34" s="79"/>
      <c r="M34" s="79"/>
      <c r="N34" s="79"/>
      <c r="O34" s="65"/>
      <c r="P34" s="79"/>
      <c r="Q34" s="79"/>
      <c r="R34" s="79"/>
      <c r="S34" s="79"/>
      <c r="T34" s="79"/>
      <c r="U34" s="79"/>
      <c r="V34" s="79"/>
      <c r="W34" s="70">
        <v>5000.0</v>
      </c>
    </row>
    <row r="35" ht="15.75" customHeight="1">
      <c r="B35" s="59" t="s">
        <v>55</v>
      </c>
      <c r="C35" s="52">
        <f>Loans!$C$5</f>
        <v>110000</v>
      </c>
      <c r="D35" s="76">
        <f t="shared" si="1"/>
        <v>46744</v>
      </c>
      <c r="E35" s="76">
        <f>SUMIF('Monthly Expenses'!A:A, B35, 'Monthly Expenses'!C:C)</f>
        <v>0</v>
      </c>
      <c r="F35" s="77">
        <f t="shared" si="2"/>
        <v>63256</v>
      </c>
      <c r="G35" s="61" t="s">
        <v>105</v>
      </c>
      <c r="H35" s="56">
        <v>26494.0</v>
      </c>
      <c r="I35" s="79"/>
      <c r="J35" s="56">
        <v>15250.0</v>
      </c>
      <c r="K35" s="65"/>
      <c r="L35" s="79"/>
      <c r="M35" s="79"/>
      <c r="N35" s="79"/>
      <c r="O35" s="65"/>
      <c r="P35" s="79"/>
      <c r="Q35" s="79"/>
      <c r="R35" s="79"/>
      <c r="S35" s="79"/>
      <c r="T35" s="79"/>
      <c r="U35" s="79"/>
      <c r="V35" s="79"/>
      <c r="W35" s="78">
        <v>5000.0</v>
      </c>
    </row>
    <row r="36" ht="15.75" customHeight="1">
      <c r="B36" s="66" t="s">
        <v>106</v>
      </c>
      <c r="C36" s="67">
        <f>Loans!$C$5</f>
        <v>110000</v>
      </c>
      <c r="D36" s="72">
        <f t="shared" si="1"/>
        <v>41744</v>
      </c>
      <c r="E36" s="72">
        <f>SUMIF('Monthly Expenses'!A:A, B36, 'Monthly Expenses'!C:C)</f>
        <v>0</v>
      </c>
      <c r="F36" s="73">
        <f t="shared" si="2"/>
        <v>68256</v>
      </c>
      <c r="G36" s="69"/>
      <c r="H36" s="70">
        <v>26494.0</v>
      </c>
      <c r="I36" s="79"/>
      <c r="J36" s="70">
        <v>15250.0</v>
      </c>
      <c r="K36" s="65"/>
      <c r="L36" s="79"/>
      <c r="M36" s="79"/>
      <c r="N36" s="79"/>
      <c r="O36" s="65"/>
      <c r="P36" s="79"/>
      <c r="Q36" s="79"/>
      <c r="R36" s="79"/>
      <c r="S36" s="79"/>
      <c r="T36" s="79"/>
      <c r="U36" s="79"/>
      <c r="V36" s="79"/>
      <c r="W36" s="79"/>
    </row>
    <row r="37" ht="15.75" customHeight="1">
      <c r="B37" s="51" t="s">
        <v>107</v>
      </c>
      <c r="C37" s="64">
        <f>Loans!$C$5</f>
        <v>110000</v>
      </c>
      <c r="D37" s="74">
        <f t="shared" si="1"/>
        <v>41744</v>
      </c>
      <c r="E37" s="74">
        <f>SUMIF('Monthly Expenses'!A:A, B37, 'Monthly Expenses'!C:C)</f>
        <v>0</v>
      </c>
      <c r="F37" s="75">
        <f t="shared" si="2"/>
        <v>68256</v>
      </c>
      <c r="G37" s="55"/>
      <c r="H37" s="57">
        <v>26494.0</v>
      </c>
      <c r="I37" s="79"/>
      <c r="J37" s="57">
        <v>15250.0</v>
      </c>
      <c r="K37" s="65"/>
      <c r="L37" s="79"/>
      <c r="M37" s="79"/>
      <c r="N37" s="79"/>
      <c r="O37" s="65"/>
      <c r="P37" s="79"/>
      <c r="Q37" s="79"/>
      <c r="R37" s="79"/>
      <c r="S37" s="79"/>
      <c r="T37" s="79"/>
      <c r="U37" s="79"/>
      <c r="V37" s="79"/>
      <c r="W37" s="79"/>
    </row>
    <row r="38" ht="15.75" customHeight="1">
      <c r="B38" s="66" t="s">
        <v>108</v>
      </c>
      <c r="C38" s="67">
        <f>Loans!$C$5</f>
        <v>110000</v>
      </c>
      <c r="D38" s="72">
        <f t="shared" si="1"/>
        <v>41744</v>
      </c>
      <c r="E38" s="72">
        <f>SUMIF('Monthly Expenses'!A:A, B38, 'Monthly Expenses'!C:C)</f>
        <v>0</v>
      </c>
      <c r="F38" s="73">
        <f t="shared" si="2"/>
        <v>68256</v>
      </c>
      <c r="G38" s="69"/>
      <c r="H38" s="70">
        <v>26494.0</v>
      </c>
      <c r="I38" s="79"/>
      <c r="J38" s="70">
        <v>15250.0</v>
      </c>
      <c r="K38" s="65"/>
      <c r="L38" s="79"/>
      <c r="M38" s="79"/>
      <c r="N38" s="79"/>
      <c r="O38" s="65"/>
      <c r="P38" s="79"/>
      <c r="Q38" s="79"/>
      <c r="R38" s="79"/>
      <c r="S38" s="79"/>
      <c r="T38" s="79"/>
      <c r="U38" s="79"/>
      <c r="V38" s="79"/>
      <c r="W38" s="79"/>
    </row>
    <row r="39" ht="15.75" customHeight="1">
      <c r="B39" s="51" t="s">
        <v>109</v>
      </c>
      <c r="C39" s="64">
        <f>Loans!$C$5</f>
        <v>110000</v>
      </c>
      <c r="D39" s="74">
        <f t="shared" si="1"/>
        <v>41744</v>
      </c>
      <c r="E39" s="74">
        <f>SUMIF('Monthly Expenses'!A:A, B39, 'Monthly Expenses'!C:C)</f>
        <v>0</v>
      </c>
      <c r="F39" s="75">
        <f t="shared" si="2"/>
        <v>68256</v>
      </c>
      <c r="G39" s="55"/>
      <c r="H39" s="57">
        <v>26494.0</v>
      </c>
      <c r="I39" s="79"/>
      <c r="J39" s="57">
        <v>15250.0</v>
      </c>
      <c r="K39" s="65"/>
      <c r="L39" s="79"/>
      <c r="M39" s="79"/>
      <c r="N39" s="79"/>
      <c r="O39" s="65"/>
      <c r="P39" s="79"/>
      <c r="Q39" s="79"/>
      <c r="R39" s="79"/>
      <c r="S39" s="79"/>
      <c r="T39" s="79"/>
      <c r="U39" s="79"/>
      <c r="V39" s="79"/>
      <c r="W39" s="79"/>
    </row>
    <row r="40" ht="15.75" customHeight="1">
      <c r="B40" s="66" t="s">
        <v>110</v>
      </c>
      <c r="C40" s="67">
        <f>Loans!$C$5</f>
        <v>110000</v>
      </c>
      <c r="D40" s="72">
        <f t="shared" si="1"/>
        <v>41744</v>
      </c>
      <c r="E40" s="72">
        <f>SUMIF('Monthly Expenses'!A:A, B40, 'Monthly Expenses'!C:C)</f>
        <v>0</v>
      </c>
      <c r="F40" s="73">
        <f t="shared" si="2"/>
        <v>68256</v>
      </c>
      <c r="G40" s="69"/>
      <c r="H40" s="70">
        <v>26494.0</v>
      </c>
      <c r="I40" s="79"/>
      <c r="J40" s="70">
        <v>15250.0</v>
      </c>
      <c r="K40" s="65"/>
      <c r="L40" s="79"/>
      <c r="M40" s="79"/>
      <c r="N40" s="79"/>
      <c r="O40" s="65"/>
      <c r="P40" s="79"/>
      <c r="Q40" s="79"/>
      <c r="R40" s="79"/>
      <c r="S40" s="79"/>
      <c r="T40" s="79"/>
      <c r="U40" s="79"/>
      <c r="V40" s="79"/>
      <c r="W40" s="79"/>
    </row>
    <row r="41" ht="15.75" customHeight="1">
      <c r="B41" s="51" t="s">
        <v>111</v>
      </c>
      <c r="C41" s="64">
        <f>Loans!$C$5</f>
        <v>110000</v>
      </c>
      <c r="D41" s="74">
        <f t="shared" si="1"/>
        <v>41744</v>
      </c>
      <c r="E41" s="74">
        <f>SUMIF('Monthly Expenses'!A:A, B41, 'Monthly Expenses'!C:C)</f>
        <v>0</v>
      </c>
      <c r="F41" s="75">
        <f t="shared" si="2"/>
        <v>68256</v>
      </c>
      <c r="G41" s="92" t="s">
        <v>112</v>
      </c>
      <c r="H41" s="57">
        <v>26494.0</v>
      </c>
      <c r="I41" s="79"/>
      <c r="J41" s="57">
        <v>15250.0</v>
      </c>
      <c r="K41" s="65"/>
      <c r="L41" s="79"/>
      <c r="M41" s="79"/>
      <c r="N41" s="79"/>
      <c r="O41" s="65"/>
      <c r="P41" s="79"/>
      <c r="Q41" s="79"/>
      <c r="R41" s="79"/>
      <c r="S41" s="79"/>
      <c r="T41" s="79"/>
      <c r="U41" s="79"/>
      <c r="V41" s="79"/>
      <c r="W41" s="79"/>
    </row>
    <row r="42" ht="15.75" customHeight="1">
      <c r="B42" s="66" t="s">
        <v>113</v>
      </c>
      <c r="C42" s="67">
        <f>Loans!$C$5</f>
        <v>110000</v>
      </c>
      <c r="D42" s="72">
        <f t="shared" si="1"/>
        <v>41744</v>
      </c>
      <c r="E42" s="72">
        <f>SUMIF('Monthly Expenses'!A:A, B42, 'Monthly Expenses'!C:C)</f>
        <v>0</v>
      </c>
      <c r="F42" s="73">
        <f t="shared" si="2"/>
        <v>68256</v>
      </c>
      <c r="G42" s="69"/>
      <c r="H42" s="70">
        <v>26494.0</v>
      </c>
      <c r="I42" s="79"/>
      <c r="J42" s="70">
        <v>15250.0</v>
      </c>
      <c r="K42" s="65"/>
      <c r="L42" s="79"/>
      <c r="M42" s="79"/>
      <c r="N42" s="79"/>
      <c r="O42" s="65"/>
      <c r="P42" s="79"/>
      <c r="Q42" s="79"/>
      <c r="R42" s="79"/>
      <c r="S42" s="79"/>
      <c r="T42" s="79"/>
      <c r="U42" s="79"/>
      <c r="V42" s="79"/>
      <c r="W42" s="79"/>
    </row>
    <row r="43" ht="15.75" customHeight="1">
      <c r="B43" s="51" t="s">
        <v>114</v>
      </c>
      <c r="C43" s="64">
        <f>Loans!$C$5</f>
        <v>110000</v>
      </c>
      <c r="D43" s="74">
        <f t="shared" si="1"/>
        <v>41744</v>
      </c>
      <c r="E43" s="74">
        <f>SUMIF('Monthly Expenses'!A:A, B43, 'Monthly Expenses'!C:C)</f>
        <v>0</v>
      </c>
      <c r="F43" s="75">
        <f t="shared" si="2"/>
        <v>68256</v>
      </c>
      <c r="G43" s="55"/>
      <c r="H43" s="57">
        <v>26494.0</v>
      </c>
      <c r="I43" s="79"/>
      <c r="J43" s="57">
        <v>15250.0</v>
      </c>
      <c r="K43" s="65"/>
      <c r="L43" s="79"/>
      <c r="M43" s="79"/>
      <c r="N43" s="79"/>
      <c r="O43" s="65"/>
      <c r="P43" s="79"/>
      <c r="Q43" s="79"/>
      <c r="R43" s="79"/>
      <c r="S43" s="79"/>
      <c r="T43" s="79"/>
      <c r="U43" s="79"/>
      <c r="V43" s="79"/>
      <c r="W43" s="79"/>
    </row>
    <row r="44" ht="15.75" customHeight="1">
      <c r="B44" s="66" t="s">
        <v>115</v>
      </c>
      <c r="C44" s="67">
        <f>Loans!$C$5</f>
        <v>110000</v>
      </c>
      <c r="D44" s="72">
        <f t="shared" si="1"/>
        <v>41744</v>
      </c>
      <c r="E44" s="72">
        <f>SUMIF('Monthly Expenses'!A:A, B44, 'Monthly Expenses'!C:C)</f>
        <v>0</v>
      </c>
      <c r="F44" s="73">
        <f t="shared" si="2"/>
        <v>68256</v>
      </c>
      <c r="G44" s="69"/>
      <c r="H44" s="70">
        <v>26494.0</v>
      </c>
      <c r="I44" s="79"/>
      <c r="J44" s="70">
        <v>15250.0</v>
      </c>
      <c r="K44" s="65"/>
      <c r="L44" s="79"/>
      <c r="M44" s="79"/>
      <c r="N44" s="79"/>
      <c r="O44" s="65"/>
      <c r="P44" s="79"/>
      <c r="Q44" s="79"/>
      <c r="R44" s="79"/>
      <c r="S44" s="79"/>
      <c r="T44" s="79"/>
      <c r="U44" s="79"/>
      <c r="V44" s="79"/>
      <c r="W44" s="79"/>
    </row>
    <row r="45" ht="15.75" customHeight="1">
      <c r="B45" s="51" t="s">
        <v>116</v>
      </c>
      <c r="C45" s="64">
        <f>Loans!$C$5</f>
        <v>110000</v>
      </c>
      <c r="D45" s="74">
        <f t="shared" si="1"/>
        <v>41744</v>
      </c>
      <c r="E45" s="74">
        <f>SUMIF('Monthly Expenses'!A:A, B45, 'Monthly Expenses'!C:C)</f>
        <v>0</v>
      </c>
      <c r="F45" s="75">
        <f t="shared" si="2"/>
        <v>68256</v>
      </c>
      <c r="G45" s="55"/>
      <c r="H45" s="57">
        <v>26494.0</v>
      </c>
      <c r="I45" s="79"/>
      <c r="J45" s="57">
        <v>15250.0</v>
      </c>
      <c r="K45" s="65"/>
      <c r="L45" s="79"/>
      <c r="M45" s="79"/>
      <c r="N45" s="79"/>
      <c r="O45" s="65"/>
      <c r="P45" s="79"/>
      <c r="Q45" s="79"/>
      <c r="R45" s="79"/>
      <c r="S45" s="79"/>
      <c r="T45" s="79"/>
      <c r="U45" s="79"/>
      <c r="V45" s="79"/>
      <c r="W45" s="79"/>
    </row>
    <row r="46" ht="15.75" customHeight="1">
      <c r="B46" s="66" t="s">
        <v>117</v>
      </c>
      <c r="C46" s="67">
        <f>Loans!$C$5</f>
        <v>110000</v>
      </c>
      <c r="D46" s="72">
        <f t="shared" si="1"/>
        <v>41744</v>
      </c>
      <c r="E46" s="72">
        <f>SUMIF('Monthly Expenses'!A:A, B46, 'Monthly Expenses'!C:C)</f>
        <v>0</v>
      </c>
      <c r="F46" s="73">
        <f t="shared" si="2"/>
        <v>68256</v>
      </c>
      <c r="G46" s="69"/>
      <c r="H46" s="70">
        <v>26494.0</v>
      </c>
      <c r="I46" s="79"/>
      <c r="J46" s="70">
        <v>15250.0</v>
      </c>
      <c r="K46" s="65"/>
      <c r="L46" s="79"/>
      <c r="M46" s="79"/>
      <c r="N46" s="79"/>
      <c r="O46" s="65"/>
      <c r="P46" s="79"/>
      <c r="Q46" s="79"/>
      <c r="R46" s="79"/>
      <c r="S46" s="79"/>
      <c r="T46" s="79"/>
      <c r="U46" s="79"/>
      <c r="V46" s="79"/>
      <c r="W46" s="79"/>
    </row>
    <row r="47" ht="15.75" customHeight="1">
      <c r="B47" s="51" t="s">
        <v>118</v>
      </c>
      <c r="C47" s="64">
        <f>Loans!$C$5</f>
        <v>110000</v>
      </c>
      <c r="D47" s="74">
        <f t="shared" si="1"/>
        <v>41744</v>
      </c>
      <c r="E47" s="74">
        <f>SUMIF('Monthly Expenses'!A:A, B47, 'Monthly Expenses'!C:C)</f>
        <v>0</v>
      </c>
      <c r="F47" s="75">
        <f t="shared" si="2"/>
        <v>68256</v>
      </c>
      <c r="G47" s="55"/>
      <c r="H47" s="57">
        <v>26494.0</v>
      </c>
      <c r="I47" s="79"/>
      <c r="J47" s="57">
        <v>15250.0</v>
      </c>
      <c r="K47" s="65"/>
      <c r="L47" s="79"/>
      <c r="M47" s="79"/>
      <c r="N47" s="79"/>
      <c r="O47" s="65"/>
      <c r="P47" s="79"/>
      <c r="Q47" s="79"/>
      <c r="R47" s="79"/>
      <c r="S47" s="79"/>
      <c r="T47" s="79"/>
      <c r="U47" s="79"/>
      <c r="V47" s="79"/>
      <c r="W47" s="79"/>
    </row>
    <row r="48" ht="15.75" customHeight="1">
      <c r="B48" s="66" t="s">
        <v>119</v>
      </c>
      <c r="C48" s="67">
        <f>Loans!$C$5</f>
        <v>110000</v>
      </c>
      <c r="D48" s="72">
        <f t="shared" si="1"/>
        <v>41744</v>
      </c>
      <c r="E48" s="72">
        <f>SUMIF('Monthly Expenses'!A:A, B48, 'Monthly Expenses'!C:C)</f>
        <v>0</v>
      </c>
      <c r="F48" s="73">
        <f t="shared" si="2"/>
        <v>68256</v>
      </c>
      <c r="G48" s="69"/>
      <c r="H48" s="70">
        <v>26494.0</v>
      </c>
      <c r="I48" s="79"/>
      <c r="J48" s="70">
        <v>15250.0</v>
      </c>
      <c r="K48" s="65"/>
      <c r="L48" s="79"/>
      <c r="M48" s="79"/>
      <c r="N48" s="79"/>
      <c r="O48" s="65"/>
      <c r="P48" s="79"/>
      <c r="Q48" s="79"/>
      <c r="R48" s="79"/>
      <c r="S48" s="79"/>
      <c r="T48" s="79"/>
      <c r="U48" s="79"/>
      <c r="V48" s="79"/>
      <c r="W48" s="79"/>
    </row>
    <row r="49" ht="15.75" customHeight="1">
      <c r="B49" s="51" t="s">
        <v>120</v>
      </c>
      <c r="C49" s="64">
        <f>Loans!$C$5</f>
        <v>110000</v>
      </c>
      <c r="D49" s="74">
        <f t="shared" si="1"/>
        <v>41744</v>
      </c>
      <c r="E49" s="74">
        <f>SUMIF('Monthly Expenses'!A:A, B49, 'Monthly Expenses'!C:C)</f>
        <v>0</v>
      </c>
      <c r="F49" s="75">
        <f t="shared" si="2"/>
        <v>68256</v>
      </c>
      <c r="G49" s="55"/>
      <c r="H49" s="57">
        <v>26494.0</v>
      </c>
      <c r="I49" s="79"/>
      <c r="J49" s="57">
        <v>15250.0</v>
      </c>
      <c r="K49" s="65"/>
      <c r="L49" s="79"/>
      <c r="M49" s="79"/>
      <c r="N49" s="79"/>
      <c r="O49" s="65"/>
      <c r="P49" s="79"/>
      <c r="Q49" s="79"/>
      <c r="R49" s="79"/>
      <c r="S49" s="79"/>
      <c r="T49" s="79"/>
      <c r="U49" s="79"/>
      <c r="V49" s="79"/>
      <c r="W49" s="79"/>
    </row>
    <row r="50" ht="15.75" customHeight="1">
      <c r="B50" s="66" t="s">
        <v>121</v>
      </c>
      <c r="C50" s="67">
        <f>Loans!$C$5</f>
        <v>110000</v>
      </c>
      <c r="D50" s="72">
        <f t="shared" si="1"/>
        <v>41744</v>
      </c>
      <c r="E50" s="72">
        <f>SUMIF('Monthly Expenses'!A:A, B50, 'Monthly Expenses'!C:C)</f>
        <v>0</v>
      </c>
      <c r="F50" s="73">
        <f t="shared" si="2"/>
        <v>68256</v>
      </c>
      <c r="G50" s="69"/>
      <c r="H50" s="70">
        <v>26494.0</v>
      </c>
      <c r="I50" s="79"/>
      <c r="J50" s="70">
        <v>15250.0</v>
      </c>
      <c r="K50" s="65"/>
      <c r="L50" s="79"/>
      <c r="M50" s="79"/>
      <c r="N50" s="79"/>
      <c r="O50" s="65"/>
      <c r="P50" s="79"/>
      <c r="Q50" s="79"/>
      <c r="R50" s="79"/>
      <c r="S50" s="79"/>
      <c r="T50" s="79"/>
      <c r="U50" s="79"/>
      <c r="V50" s="79"/>
      <c r="W50" s="79"/>
    </row>
    <row r="51" ht="15.75" customHeight="1">
      <c r="B51" s="51" t="s">
        <v>122</v>
      </c>
      <c r="C51" s="64">
        <f>Loans!$C$5</f>
        <v>110000</v>
      </c>
      <c r="D51" s="74">
        <f t="shared" si="1"/>
        <v>41744</v>
      </c>
      <c r="E51" s="74">
        <f>SUMIF('Monthly Expenses'!A:A, B51, 'Monthly Expenses'!C:C)</f>
        <v>0</v>
      </c>
      <c r="F51" s="75">
        <f t="shared" si="2"/>
        <v>68256</v>
      </c>
      <c r="G51" s="55"/>
      <c r="H51" s="57">
        <v>26494.0</v>
      </c>
      <c r="I51" s="79"/>
      <c r="J51" s="57">
        <v>15250.0</v>
      </c>
      <c r="K51" s="65"/>
      <c r="L51" s="79"/>
      <c r="M51" s="79"/>
      <c r="N51" s="79"/>
      <c r="O51" s="65"/>
      <c r="P51" s="79"/>
      <c r="Q51" s="79"/>
      <c r="R51" s="79"/>
      <c r="S51" s="79"/>
      <c r="T51" s="79"/>
      <c r="U51" s="79"/>
      <c r="V51" s="79"/>
      <c r="W51" s="79"/>
    </row>
    <row r="52" ht="15.75" customHeight="1">
      <c r="B52" s="66" t="s">
        <v>123</v>
      </c>
      <c r="C52" s="67">
        <f>Loans!$C$5</f>
        <v>110000</v>
      </c>
      <c r="D52" s="72">
        <f t="shared" si="1"/>
        <v>41744</v>
      </c>
      <c r="E52" s="72">
        <f>SUMIF('Monthly Expenses'!A:A, B52, 'Monthly Expenses'!C:C)</f>
        <v>0</v>
      </c>
      <c r="F52" s="73">
        <f t="shared" si="2"/>
        <v>68256</v>
      </c>
      <c r="G52" s="69"/>
      <c r="H52" s="70">
        <v>26494.0</v>
      </c>
      <c r="I52" s="79"/>
      <c r="J52" s="70">
        <v>15250.0</v>
      </c>
      <c r="K52" s="65"/>
      <c r="L52" s="79"/>
      <c r="M52" s="79"/>
      <c r="N52" s="79"/>
      <c r="O52" s="65"/>
      <c r="P52" s="79"/>
      <c r="Q52" s="79"/>
      <c r="R52" s="79"/>
      <c r="S52" s="79"/>
      <c r="T52" s="79"/>
      <c r="U52" s="79"/>
      <c r="V52" s="79"/>
      <c r="W52" s="79"/>
    </row>
    <row r="53" ht="15.75" customHeight="1">
      <c r="B53" s="51" t="s">
        <v>124</v>
      </c>
      <c r="C53" s="64">
        <f>Loans!$C$5</f>
        <v>110000</v>
      </c>
      <c r="D53" s="74">
        <f t="shared" si="1"/>
        <v>41744</v>
      </c>
      <c r="E53" s="74">
        <f>SUMIF('Monthly Expenses'!A:A, B53, 'Monthly Expenses'!C:C)</f>
        <v>0</v>
      </c>
      <c r="F53" s="75">
        <f t="shared" si="2"/>
        <v>68256</v>
      </c>
      <c r="G53" s="55"/>
      <c r="H53" s="57">
        <v>26494.0</v>
      </c>
      <c r="I53" s="79"/>
      <c r="J53" s="57">
        <v>15250.0</v>
      </c>
      <c r="K53" s="65"/>
      <c r="L53" s="79"/>
      <c r="M53" s="79"/>
      <c r="N53" s="79"/>
      <c r="O53" s="65"/>
      <c r="P53" s="79"/>
      <c r="Q53" s="79"/>
      <c r="R53" s="79"/>
      <c r="S53" s="79"/>
      <c r="T53" s="79"/>
      <c r="U53" s="79"/>
      <c r="V53" s="79"/>
      <c r="W53" s="79"/>
    </row>
    <row r="54" ht="15.75" customHeight="1">
      <c r="B54" s="66" t="s">
        <v>125</v>
      </c>
      <c r="C54" s="67">
        <f>Loans!$C$5</f>
        <v>110000</v>
      </c>
      <c r="D54" s="72">
        <f t="shared" si="1"/>
        <v>41744</v>
      </c>
      <c r="E54" s="72">
        <f>SUMIF('Monthly Expenses'!A:A, B54, 'Monthly Expenses'!C:C)</f>
        <v>0</v>
      </c>
      <c r="F54" s="73">
        <f t="shared" si="2"/>
        <v>68256</v>
      </c>
      <c r="G54" s="69"/>
      <c r="H54" s="70">
        <v>26494.0</v>
      </c>
      <c r="I54" s="79"/>
      <c r="J54" s="70">
        <v>15250.0</v>
      </c>
      <c r="K54" s="65"/>
      <c r="L54" s="79"/>
      <c r="M54" s="79"/>
      <c r="N54" s="79"/>
      <c r="O54" s="65"/>
      <c r="P54" s="79"/>
      <c r="Q54" s="79"/>
      <c r="R54" s="79"/>
      <c r="S54" s="79"/>
      <c r="T54" s="79"/>
      <c r="U54" s="79"/>
      <c r="V54" s="79"/>
      <c r="W54" s="79"/>
    </row>
    <row r="55" ht="15.75" customHeight="1">
      <c r="B55" s="51" t="s">
        <v>126</v>
      </c>
      <c r="C55" s="64">
        <f>Loans!$C$5</f>
        <v>110000</v>
      </c>
      <c r="D55" s="74">
        <f t="shared" si="1"/>
        <v>41744</v>
      </c>
      <c r="E55" s="74">
        <f>SUMIF('Monthly Expenses'!A:A, B55, 'Monthly Expenses'!C:C)</f>
        <v>0</v>
      </c>
      <c r="F55" s="75">
        <f t="shared" si="2"/>
        <v>68256</v>
      </c>
      <c r="G55" s="55"/>
      <c r="H55" s="57">
        <v>26494.0</v>
      </c>
      <c r="I55" s="79"/>
      <c r="J55" s="57">
        <v>15250.0</v>
      </c>
      <c r="K55" s="65"/>
      <c r="L55" s="79"/>
      <c r="M55" s="79"/>
      <c r="N55" s="79"/>
      <c r="O55" s="65"/>
      <c r="P55" s="79"/>
      <c r="Q55" s="79"/>
      <c r="R55" s="79"/>
      <c r="S55" s="79"/>
      <c r="T55" s="79"/>
      <c r="U55" s="79"/>
      <c r="V55" s="79"/>
      <c r="W55" s="79"/>
    </row>
    <row r="56" ht="15.75" customHeight="1">
      <c r="B56" s="66" t="s">
        <v>127</v>
      </c>
      <c r="C56" s="67">
        <f>Loans!$C$5</f>
        <v>110000</v>
      </c>
      <c r="D56" s="72">
        <f t="shared" si="1"/>
        <v>41744</v>
      </c>
      <c r="E56" s="72">
        <f>SUMIF('Monthly Expenses'!A:A, B56, 'Monthly Expenses'!C:C)</f>
        <v>0</v>
      </c>
      <c r="F56" s="73">
        <f t="shared" si="2"/>
        <v>68256</v>
      </c>
      <c r="G56" s="69"/>
      <c r="H56" s="70">
        <v>26494.0</v>
      </c>
      <c r="I56" s="79"/>
      <c r="J56" s="70">
        <v>15250.0</v>
      </c>
      <c r="K56" s="65"/>
      <c r="L56" s="79"/>
      <c r="M56" s="79"/>
      <c r="N56" s="79"/>
      <c r="O56" s="65"/>
      <c r="P56" s="79"/>
      <c r="Q56" s="79"/>
      <c r="R56" s="79"/>
      <c r="S56" s="79"/>
      <c r="T56" s="79"/>
      <c r="U56" s="79"/>
      <c r="V56" s="79"/>
      <c r="W56" s="79"/>
    </row>
    <row r="57" ht="15.75" customHeight="1">
      <c r="B57" s="51" t="s">
        <v>128</v>
      </c>
      <c r="C57" s="64">
        <f>Loans!$C$5</f>
        <v>110000</v>
      </c>
      <c r="D57" s="74">
        <f t="shared" si="1"/>
        <v>41744</v>
      </c>
      <c r="E57" s="74">
        <f>SUMIF('Monthly Expenses'!A:A, B57, 'Monthly Expenses'!C:C)</f>
        <v>0</v>
      </c>
      <c r="F57" s="75">
        <f t="shared" si="2"/>
        <v>68256</v>
      </c>
      <c r="G57" s="55"/>
      <c r="H57" s="57">
        <v>26494.0</v>
      </c>
      <c r="I57" s="79"/>
      <c r="J57" s="57">
        <v>15250.0</v>
      </c>
      <c r="K57" s="65"/>
      <c r="L57" s="79"/>
      <c r="M57" s="79"/>
      <c r="N57" s="79"/>
      <c r="O57" s="65"/>
      <c r="P57" s="79"/>
      <c r="Q57" s="79"/>
      <c r="R57" s="79"/>
      <c r="S57" s="79"/>
      <c r="T57" s="79"/>
      <c r="U57" s="79"/>
      <c r="V57" s="79"/>
      <c r="W57" s="79"/>
    </row>
    <row r="58" ht="15.75" customHeight="1">
      <c r="B58" s="66" t="s">
        <v>129</v>
      </c>
      <c r="C58" s="67">
        <f>Loans!$C$5</f>
        <v>110000</v>
      </c>
      <c r="D58" s="72">
        <f t="shared" si="1"/>
        <v>41744</v>
      </c>
      <c r="E58" s="72">
        <f>SUMIF('Monthly Expenses'!A:A, B58, 'Monthly Expenses'!C:C)</f>
        <v>0</v>
      </c>
      <c r="F58" s="73">
        <f t="shared" si="2"/>
        <v>68256</v>
      </c>
      <c r="G58" s="69"/>
      <c r="H58" s="70">
        <v>26494.0</v>
      </c>
      <c r="I58" s="79"/>
      <c r="J58" s="70">
        <v>15250.0</v>
      </c>
      <c r="K58" s="65"/>
      <c r="L58" s="79"/>
      <c r="M58" s="79"/>
      <c r="N58" s="79"/>
      <c r="O58" s="65"/>
      <c r="P58" s="79"/>
      <c r="Q58" s="79"/>
      <c r="R58" s="79"/>
      <c r="S58" s="79"/>
      <c r="T58" s="79"/>
      <c r="U58" s="79"/>
      <c r="V58" s="79"/>
      <c r="W58" s="79"/>
    </row>
    <row r="59" ht="15.75" customHeight="1">
      <c r="B59" s="59" t="s">
        <v>23</v>
      </c>
      <c r="C59" s="52">
        <f>Loans!$C$5</f>
        <v>110000</v>
      </c>
      <c r="D59" s="76">
        <f t="shared" si="1"/>
        <v>41744</v>
      </c>
      <c r="E59" s="76">
        <f>SUMIF('Monthly Expenses'!A:A, B59, 'Monthly Expenses'!C:C)</f>
        <v>0</v>
      </c>
      <c r="F59" s="77">
        <f t="shared" si="2"/>
        <v>68256</v>
      </c>
      <c r="G59" s="61" t="s">
        <v>130</v>
      </c>
      <c r="H59" s="56">
        <v>26494.0</v>
      </c>
      <c r="I59" s="79"/>
      <c r="J59" s="78">
        <v>15250.0</v>
      </c>
      <c r="K59" s="65"/>
      <c r="L59" s="79"/>
      <c r="M59" s="79"/>
      <c r="N59" s="79"/>
      <c r="O59" s="65"/>
      <c r="P59" s="79"/>
      <c r="Q59" s="79"/>
      <c r="R59" s="79"/>
      <c r="S59" s="79"/>
      <c r="T59" s="79"/>
      <c r="U59" s="79"/>
      <c r="V59" s="79"/>
      <c r="W59" s="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W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3" t="s">
        <v>131</v>
      </c>
    </row>
    <row r="3">
      <c r="A3" s="94" t="s">
        <v>67</v>
      </c>
      <c r="B3" s="94" t="s">
        <v>8</v>
      </c>
      <c r="C3" s="94" t="s">
        <v>132</v>
      </c>
      <c r="D3" s="94" t="s">
        <v>12</v>
      </c>
    </row>
    <row r="4">
      <c r="A4" s="95">
        <v>46174.0</v>
      </c>
      <c r="B4" s="96" t="s">
        <v>133</v>
      </c>
      <c r="C4" s="97">
        <v>1.0</v>
      </c>
      <c r="D4" s="98"/>
    </row>
    <row r="5">
      <c r="A5" s="98"/>
      <c r="B5" s="98"/>
      <c r="C5" s="99"/>
      <c r="D5" s="98"/>
    </row>
    <row r="6">
      <c r="A6" s="98"/>
      <c r="B6" s="98"/>
      <c r="C6" s="99"/>
      <c r="D6" s="98"/>
    </row>
    <row r="7">
      <c r="A7" s="98"/>
      <c r="B7" s="98"/>
      <c r="C7" s="99"/>
      <c r="D7" s="98"/>
    </row>
    <row r="8">
      <c r="A8" s="98"/>
      <c r="B8" s="98"/>
      <c r="C8" s="99"/>
      <c r="D8" s="98"/>
    </row>
    <row r="9">
      <c r="A9" s="98"/>
      <c r="B9" s="98"/>
      <c r="C9" s="99"/>
      <c r="D9" s="98"/>
    </row>
    <row r="10">
      <c r="A10" s="98"/>
      <c r="B10" s="98"/>
      <c r="C10" s="99"/>
      <c r="D10" s="98"/>
    </row>
    <row r="11">
      <c r="A11" s="98"/>
      <c r="B11" s="98"/>
      <c r="C11" s="99"/>
      <c r="D11" s="98"/>
    </row>
    <row r="12">
      <c r="A12" s="98"/>
      <c r="B12" s="98"/>
      <c r="C12" s="99"/>
      <c r="D12" s="98"/>
    </row>
    <row r="13">
      <c r="A13" s="98"/>
      <c r="B13" s="98"/>
      <c r="C13" s="99"/>
      <c r="D13" s="98"/>
    </row>
    <row r="14">
      <c r="A14" s="98"/>
      <c r="B14" s="98"/>
      <c r="C14" s="99"/>
      <c r="D14" s="98"/>
    </row>
    <row r="15">
      <c r="A15" s="98"/>
      <c r="B15" s="98"/>
      <c r="C15" s="99"/>
      <c r="D15" s="98"/>
    </row>
    <row r="16">
      <c r="A16" s="98"/>
      <c r="B16" s="98"/>
      <c r="C16" s="99"/>
      <c r="D16" s="98"/>
    </row>
    <row r="17">
      <c r="A17" s="98"/>
      <c r="B17" s="98"/>
      <c r="C17" s="99"/>
      <c r="D17" s="98"/>
    </row>
    <row r="18">
      <c r="A18" s="98"/>
      <c r="B18" s="98"/>
      <c r="C18" s="99"/>
      <c r="D18" s="98"/>
    </row>
    <row r="19">
      <c r="A19" s="98"/>
      <c r="B19" s="98"/>
      <c r="C19" s="99"/>
      <c r="D19" s="98"/>
    </row>
    <row r="20">
      <c r="A20" s="98"/>
      <c r="B20" s="98"/>
      <c r="C20" s="99"/>
      <c r="D20" s="98"/>
    </row>
    <row r="21">
      <c r="A21" s="98"/>
      <c r="B21" s="98"/>
      <c r="C21" s="99"/>
      <c r="D21" s="98"/>
    </row>
    <row r="22">
      <c r="A22" s="98"/>
      <c r="B22" s="98"/>
      <c r="C22" s="99"/>
      <c r="D22" s="98"/>
    </row>
    <row r="23">
      <c r="A23" s="98"/>
      <c r="B23" s="98"/>
      <c r="C23" s="99"/>
      <c r="D23" s="98"/>
    </row>
    <row r="24">
      <c r="A24" s="98"/>
      <c r="B24" s="98"/>
      <c r="C24" s="99"/>
      <c r="D24" s="98"/>
    </row>
    <row r="25">
      <c r="A25" s="98"/>
      <c r="B25" s="98"/>
      <c r="C25" s="99"/>
      <c r="D25" s="98"/>
    </row>
    <row r="26">
      <c r="A26" s="98"/>
      <c r="B26" s="98"/>
      <c r="C26" s="99"/>
      <c r="D26" s="98"/>
    </row>
    <row r="27">
      <c r="A27" s="98"/>
      <c r="B27" s="98"/>
      <c r="C27" s="99"/>
      <c r="D27" s="98"/>
    </row>
    <row r="28">
      <c r="A28" s="98"/>
      <c r="B28" s="98"/>
      <c r="C28" s="99"/>
      <c r="D28" s="98"/>
    </row>
    <row r="29">
      <c r="A29" s="98"/>
      <c r="B29" s="98"/>
      <c r="C29" s="99"/>
      <c r="D29" s="98"/>
    </row>
    <row r="30">
      <c r="A30" s="98"/>
      <c r="B30" s="98"/>
      <c r="C30" s="99"/>
      <c r="D30" s="98"/>
    </row>
    <row r="31">
      <c r="A31" s="98"/>
      <c r="B31" s="98"/>
      <c r="C31" s="99"/>
      <c r="D31" s="98"/>
    </row>
    <row r="32">
      <c r="A32" s="98"/>
      <c r="B32" s="98"/>
      <c r="C32" s="99"/>
      <c r="D32" s="98"/>
    </row>
    <row r="33">
      <c r="A33" s="98"/>
      <c r="B33" s="98"/>
      <c r="C33" s="99"/>
      <c r="D33" s="98"/>
    </row>
    <row r="34">
      <c r="A34" s="98"/>
      <c r="B34" s="98"/>
      <c r="C34" s="99"/>
      <c r="D34" s="98"/>
    </row>
    <row r="35">
      <c r="A35" s="98"/>
      <c r="B35" s="98"/>
      <c r="C35" s="99"/>
      <c r="D35" s="98"/>
    </row>
    <row r="36">
      <c r="A36" s="98"/>
      <c r="B36" s="98"/>
      <c r="C36" s="99"/>
      <c r="D36" s="98"/>
    </row>
    <row r="37">
      <c r="A37" s="98"/>
      <c r="B37" s="98"/>
      <c r="C37" s="99"/>
      <c r="D37" s="98"/>
    </row>
    <row r="38">
      <c r="A38" s="98"/>
      <c r="B38" s="98"/>
      <c r="C38" s="99"/>
      <c r="D38" s="98"/>
    </row>
    <row r="39">
      <c r="A39" s="98"/>
      <c r="B39" s="98"/>
      <c r="C39" s="99"/>
      <c r="D39" s="98"/>
    </row>
    <row r="40">
      <c r="A40" s="98"/>
      <c r="B40" s="98"/>
      <c r="C40" s="99"/>
      <c r="D40" s="98"/>
    </row>
    <row r="41">
      <c r="A41" s="98"/>
      <c r="B41" s="98"/>
      <c r="C41" s="99"/>
      <c r="D41" s="98"/>
    </row>
    <row r="42">
      <c r="A42" s="98"/>
      <c r="B42" s="98"/>
      <c r="C42" s="99"/>
      <c r="D42" s="98"/>
    </row>
    <row r="43">
      <c r="A43" s="98"/>
      <c r="B43" s="98"/>
      <c r="C43" s="99"/>
      <c r="D43" s="98"/>
    </row>
    <row r="44">
      <c r="A44" s="98"/>
      <c r="B44" s="98"/>
      <c r="C44" s="99"/>
      <c r="D44" s="98"/>
    </row>
    <row r="45">
      <c r="A45" s="98"/>
      <c r="B45" s="98"/>
      <c r="C45" s="99"/>
      <c r="D45" s="98"/>
    </row>
    <row r="46">
      <c r="A46" s="98"/>
      <c r="B46" s="98"/>
      <c r="C46" s="99"/>
      <c r="D46" s="98"/>
    </row>
    <row r="47">
      <c r="A47" s="98"/>
      <c r="B47" s="98"/>
      <c r="C47" s="99"/>
      <c r="D47" s="98"/>
    </row>
    <row r="48">
      <c r="A48" s="98"/>
      <c r="B48" s="98"/>
      <c r="C48" s="99"/>
      <c r="D48" s="98"/>
    </row>
    <row r="49">
      <c r="A49" s="98"/>
      <c r="B49" s="98"/>
      <c r="C49" s="99"/>
      <c r="D49" s="98"/>
    </row>
    <row r="50">
      <c r="A50" s="98"/>
      <c r="B50" s="98"/>
      <c r="C50" s="99"/>
      <c r="D50" s="98"/>
    </row>
    <row r="51">
      <c r="A51" s="98"/>
      <c r="B51" s="98"/>
      <c r="C51" s="99"/>
      <c r="D51" s="98"/>
    </row>
    <row r="52">
      <c r="A52" s="98"/>
      <c r="B52" s="98"/>
      <c r="C52" s="99"/>
      <c r="D52" s="98"/>
    </row>
    <row r="53">
      <c r="A53" s="98"/>
      <c r="B53" s="98"/>
      <c r="C53" s="99"/>
      <c r="D53" s="98"/>
    </row>
    <row r="54">
      <c r="A54" s="98"/>
      <c r="B54" s="98"/>
      <c r="C54" s="99"/>
      <c r="D54" s="98"/>
    </row>
    <row r="55">
      <c r="A55" s="98"/>
      <c r="B55" s="98"/>
      <c r="C55" s="99"/>
      <c r="D55" s="98"/>
    </row>
    <row r="56">
      <c r="A56" s="98"/>
      <c r="B56" s="98"/>
      <c r="C56" s="99"/>
      <c r="D56" s="98"/>
    </row>
    <row r="57">
      <c r="A57" s="98"/>
      <c r="B57" s="98"/>
      <c r="C57" s="99"/>
      <c r="D57" s="98"/>
    </row>
    <row r="58">
      <c r="A58" s="98"/>
      <c r="B58" s="98"/>
      <c r="C58" s="99"/>
      <c r="D58" s="98"/>
    </row>
    <row r="59">
      <c r="A59" s="98"/>
      <c r="B59" s="98"/>
      <c r="C59" s="99"/>
      <c r="D59" s="98"/>
    </row>
    <row r="60">
      <c r="A60" s="98"/>
      <c r="B60" s="98"/>
      <c r="C60" s="99"/>
      <c r="D60" s="98"/>
    </row>
    <row r="61">
      <c r="A61" s="98"/>
      <c r="B61" s="98"/>
      <c r="C61" s="99"/>
      <c r="D61" s="98"/>
    </row>
    <row r="62">
      <c r="A62" s="98"/>
      <c r="B62" s="98"/>
      <c r="C62" s="99"/>
      <c r="D62" s="98"/>
    </row>
    <row r="63">
      <c r="A63" s="98"/>
      <c r="B63" s="98"/>
      <c r="C63" s="99"/>
      <c r="D63" s="98"/>
    </row>
    <row r="64">
      <c r="A64" s="98"/>
      <c r="B64" s="98"/>
      <c r="C64" s="99"/>
      <c r="D64" s="98"/>
    </row>
    <row r="65">
      <c r="A65" s="98"/>
      <c r="B65" s="98"/>
      <c r="C65" s="99"/>
      <c r="D65" s="98"/>
    </row>
    <row r="66">
      <c r="A66" s="98"/>
      <c r="B66" s="98"/>
      <c r="C66" s="99"/>
      <c r="D66" s="98"/>
    </row>
    <row r="67">
      <c r="A67" s="98"/>
      <c r="B67" s="98"/>
      <c r="C67" s="99"/>
      <c r="D67" s="98"/>
    </row>
    <row r="68">
      <c r="A68" s="98"/>
      <c r="B68" s="98"/>
      <c r="C68" s="99"/>
      <c r="D68" s="98"/>
    </row>
    <row r="69">
      <c r="A69" s="98"/>
      <c r="B69" s="98"/>
      <c r="C69" s="99"/>
      <c r="D69" s="98"/>
    </row>
    <row r="70">
      <c r="A70" s="98"/>
      <c r="B70" s="98"/>
      <c r="C70" s="99"/>
      <c r="D70" s="98"/>
    </row>
    <row r="71">
      <c r="A71" s="98"/>
      <c r="B71" s="98"/>
      <c r="C71" s="99"/>
      <c r="D71" s="98"/>
    </row>
    <row r="72">
      <c r="A72" s="98"/>
      <c r="B72" s="98"/>
      <c r="C72" s="99"/>
      <c r="D72" s="98"/>
    </row>
    <row r="73">
      <c r="A73" s="98"/>
      <c r="B73" s="98"/>
      <c r="C73" s="99"/>
      <c r="D73" s="98"/>
    </row>
    <row r="74">
      <c r="A74" s="98"/>
      <c r="B74" s="98"/>
      <c r="C74" s="99"/>
      <c r="D74" s="98"/>
    </row>
    <row r="75">
      <c r="A75" s="98"/>
      <c r="B75" s="98"/>
      <c r="C75" s="99"/>
      <c r="D75" s="98"/>
    </row>
    <row r="76">
      <c r="A76" s="98"/>
      <c r="B76" s="98"/>
      <c r="C76" s="99"/>
      <c r="D76" s="98"/>
    </row>
    <row r="77">
      <c r="A77" s="98"/>
      <c r="B77" s="98"/>
      <c r="C77" s="99"/>
      <c r="D77" s="98"/>
    </row>
    <row r="78">
      <c r="A78" s="98"/>
      <c r="B78" s="98"/>
      <c r="C78" s="99"/>
      <c r="D78" s="98"/>
    </row>
    <row r="79">
      <c r="A79" s="98"/>
      <c r="B79" s="98"/>
      <c r="C79" s="99"/>
      <c r="D79" s="98"/>
    </row>
    <row r="80">
      <c r="A80" s="98"/>
      <c r="B80" s="98"/>
      <c r="C80" s="99"/>
      <c r="D80" s="98"/>
    </row>
    <row r="81">
      <c r="A81" s="98"/>
      <c r="B81" s="98"/>
      <c r="C81" s="99"/>
      <c r="D81" s="98"/>
    </row>
    <row r="82">
      <c r="A82" s="98"/>
      <c r="B82" s="98"/>
      <c r="C82" s="99"/>
      <c r="D82" s="98"/>
    </row>
    <row r="83">
      <c r="A83" s="98"/>
      <c r="B83" s="98"/>
      <c r="C83" s="99"/>
      <c r="D83" s="98"/>
    </row>
    <row r="84">
      <c r="A84" s="98"/>
      <c r="B84" s="98"/>
      <c r="C84" s="99"/>
      <c r="D84" s="98"/>
    </row>
    <row r="85">
      <c r="A85" s="98"/>
      <c r="B85" s="98"/>
      <c r="C85" s="99"/>
      <c r="D85" s="98"/>
    </row>
    <row r="86">
      <c r="A86" s="98"/>
      <c r="B86" s="98"/>
      <c r="C86" s="99"/>
      <c r="D86" s="98"/>
    </row>
    <row r="87">
      <c r="A87" s="98"/>
      <c r="B87" s="98"/>
      <c r="C87" s="99"/>
      <c r="D87" s="98"/>
    </row>
    <row r="88">
      <c r="A88" s="98"/>
      <c r="B88" s="98"/>
      <c r="C88" s="99"/>
      <c r="D88" s="98"/>
    </row>
    <row r="89">
      <c r="A89" s="98"/>
      <c r="B89" s="98"/>
      <c r="C89" s="99"/>
      <c r="D89" s="98"/>
    </row>
    <row r="90">
      <c r="A90" s="98"/>
      <c r="B90" s="98"/>
      <c r="C90" s="99"/>
      <c r="D90" s="98"/>
    </row>
    <row r="91">
      <c r="A91" s="98"/>
      <c r="B91" s="98"/>
      <c r="C91" s="99"/>
      <c r="D91" s="98"/>
    </row>
    <row r="92">
      <c r="A92" s="98"/>
      <c r="B92" s="98"/>
      <c r="C92" s="99"/>
      <c r="D92" s="98"/>
    </row>
    <row r="93">
      <c r="A93" s="98"/>
      <c r="B93" s="98"/>
      <c r="C93" s="99"/>
      <c r="D93" s="98"/>
    </row>
    <row r="94">
      <c r="A94" s="98"/>
      <c r="B94" s="98"/>
      <c r="C94" s="99"/>
      <c r="D94" s="98"/>
    </row>
    <row r="95">
      <c r="A95" s="98"/>
      <c r="B95" s="98"/>
      <c r="C95" s="99"/>
      <c r="D95" s="98"/>
    </row>
    <row r="96">
      <c r="A96" s="98"/>
      <c r="B96" s="98"/>
      <c r="C96" s="99"/>
      <c r="D96" s="98"/>
    </row>
    <row r="97">
      <c r="A97" s="98"/>
      <c r="B97" s="98"/>
      <c r="C97" s="99"/>
      <c r="D97" s="98"/>
    </row>
    <row r="98">
      <c r="A98" s="98"/>
      <c r="B98" s="98"/>
      <c r="C98" s="99"/>
      <c r="D98" s="98"/>
    </row>
    <row r="99">
      <c r="A99" s="98"/>
      <c r="B99" s="98"/>
      <c r="C99" s="99"/>
      <c r="D99" s="9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0" t="s">
        <v>134</v>
      </c>
    </row>
    <row r="4">
      <c r="B4" s="101" t="s">
        <v>135</v>
      </c>
      <c r="C4" s="101" t="s">
        <v>136</v>
      </c>
      <c r="D4" s="101" t="s">
        <v>137</v>
      </c>
      <c r="E4" s="101" t="s">
        <v>138</v>
      </c>
      <c r="F4" s="101" t="s">
        <v>139</v>
      </c>
      <c r="G4" s="101" t="s">
        <v>140</v>
      </c>
      <c r="H4" s="102" t="s">
        <v>141</v>
      </c>
    </row>
    <row r="5">
      <c r="B5" s="103"/>
      <c r="C5" s="104"/>
      <c r="D5" s="103"/>
      <c r="E5" s="103"/>
      <c r="F5" s="105"/>
      <c r="G5" s="106"/>
      <c r="H5" s="10" t="str">
        <f t="shared" ref="H5:H97" si="1">IF(OR(ISBLANK(F5), ISBLANK(G5)), "", F5 * (C5/100) * (TODAY() - G5) / 365)</f>
        <v/>
      </c>
    </row>
    <row r="6">
      <c r="B6" s="103"/>
      <c r="C6" s="104"/>
      <c r="D6" s="103"/>
      <c r="E6" s="103"/>
      <c r="F6" s="105"/>
      <c r="G6" s="106"/>
      <c r="H6" s="10" t="str">
        <f t="shared" si="1"/>
        <v/>
      </c>
    </row>
    <row r="7">
      <c r="B7" s="103"/>
      <c r="C7" s="104"/>
      <c r="D7" s="103"/>
      <c r="E7" s="103"/>
      <c r="F7" s="105"/>
      <c r="G7" s="106"/>
      <c r="H7" s="10" t="str">
        <f t="shared" si="1"/>
        <v/>
      </c>
    </row>
    <row r="8">
      <c r="B8" s="103"/>
      <c r="C8" s="104"/>
      <c r="D8" s="103"/>
      <c r="E8" s="103"/>
      <c r="F8" s="105"/>
      <c r="G8" s="106"/>
      <c r="H8" s="10" t="str">
        <f t="shared" si="1"/>
        <v/>
      </c>
    </row>
    <row r="9">
      <c r="B9" s="103"/>
      <c r="C9" s="104"/>
      <c r="D9" s="103"/>
      <c r="E9" s="103"/>
      <c r="F9" s="105"/>
      <c r="G9" s="106"/>
      <c r="H9" s="10" t="str">
        <f t="shared" si="1"/>
        <v/>
      </c>
    </row>
    <row r="10">
      <c r="B10" s="103"/>
      <c r="C10" s="104"/>
      <c r="D10" s="103"/>
      <c r="E10" s="103"/>
      <c r="F10" s="105"/>
      <c r="G10" s="106"/>
      <c r="H10" s="10" t="str">
        <f t="shared" si="1"/>
        <v/>
      </c>
    </row>
    <row r="11">
      <c r="B11" s="103"/>
      <c r="C11" s="104"/>
      <c r="D11" s="103"/>
      <c r="E11" s="103"/>
      <c r="F11" s="105"/>
      <c r="G11" s="106"/>
      <c r="H11" s="10" t="str">
        <f t="shared" si="1"/>
        <v/>
      </c>
    </row>
    <row r="12">
      <c r="B12" s="103"/>
      <c r="C12" s="104"/>
      <c r="D12" s="103"/>
      <c r="E12" s="103"/>
      <c r="F12" s="105"/>
      <c r="G12" s="106"/>
      <c r="H12" s="10" t="str">
        <f t="shared" si="1"/>
        <v/>
      </c>
    </row>
    <row r="13">
      <c r="B13" s="103"/>
      <c r="C13" s="104"/>
      <c r="D13" s="103"/>
      <c r="E13" s="103"/>
      <c r="F13" s="105"/>
      <c r="G13" s="106"/>
      <c r="H13" s="10" t="str">
        <f t="shared" si="1"/>
        <v/>
      </c>
    </row>
    <row r="14">
      <c r="B14" s="103"/>
      <c r="C14" s="104"/>
      <c r="D14" s="103"/>
      <c r="E14" s="103"/>
      <c r="F14" s="105"/>
      <c r="G14" s="106"/>
      <c r="H14" s="10" t="str">
        <f t="shared" si="1"/>
        <v/>
      </c>
    </row>
    <row r="15">
      <c r="B15" s="103"/>
      <c r="C15" s="104"/>
      <c r="D15" s="103"/>
      <c r="E15" s="103"/>
      <c r="F15" s="105"/>
      <c r="G15" s="106"/>
      <c r="H15" s="10" t="str">
        <f t="shared" si="1"/>
        <v/>
      </c>
    </row>
    <row r="16">
      <c r="B16" s="103"/>
      <c r="C16" s="104"/>
      <c r="D16" s="103"/>
      <c r="E16" s="103"/>
      <c r="F16" s="105"/>
      <c r="G16" s="106"/>
      <c r="H16" s="10" t="str">
        <f t="shared" si="1"/>
        <v/>
      </c>
    </row>
    <row r="17">
      <c r="B17" s="103"/>
      <c r="C17" s="104"/>
      <c r="D17" s="103"/>
      <c r="E17" s="103"/>
      <c r="F17" s="105"/>
      <c r="G17" s="106"/>
      <c r="H17" s="10" t="str">
        <f t="shared" si="1"/>
        <v/>
      </c>
    </row>
    <row r="18">
      <c r="B18" s="103"/>
      <c r="C18" s="104"/>
      <c r="D18" s="103"/>
      <c r="E18" s="103"/>
      <c r="F18" s="105"/>
      <c r="G18" s="106"/>
      <c r="H18" s="10" t="str">
        <f t="shared" si="1"/>
        <v/>
      </c>
    </row>
    <row r="19">
      <c r="B19" s="103"/>
      <c r="C19" s="104"/>
      <c r="D19" s="103"/>
      <c r="E19" s="103"/>
      <c r="F19" s="105"/>
      <c r="G19" s="106"/>
      <c r="H19" s="10" t="str">
        <f t="shared" si="1"/>
        <v/>
      </c>
    </row>
    <row r="20">
      <c r="B20" s="103"/>
      <c r="C20" s="104"/>
      <c r="D20" s="103"/>
      <c r="E20" s="103"/>
      <c r="F20" s="105"/>
      <c r="G20" s="106"/>
      <c r="H20" s="10" t="str">
        <f t="shared" si="1"/>
        <v/>
      </c>
    </row>
    <row r="21">
      <c r="B21" s="103"/>
      <c r="C21" s="104"/>
      <c r="D21" s="103"/>
      <c r="E21" s="103"/>
      <c r="F21" s="105"/>
      <c r="G21" s="106"/>
      <c r="H21" s="10" t="str">
        <f t="shared" si="1"/>
        <v/>
      </c>
    </row>
    <row r="22">
      <c r="B22" s="103"/>
      <c r="C22" s="104"/>
      <c r="D22" s="103"/>
      <c r="E22" s="103"/>
      <c r="F22" s="105"/>
      <c r="G22" s="106"/>
      <c r="H22" s="10" t="str">
        <f t="shared" si="1"/>
        <v/>
      </c>
    </row>
    <row r="23">
      <c r="B23" s="103"/>
      <c r="C23" s="104"/>
      <c r="D23" s="103"/>
      <c r="E23" s="103"/>
      <c r="F23" s="105"/>
      <c r="G23" s="106"/>
      <c r="H23" s="10" t="str">
        <f t="shared" si="1"/>
        <v/>
      </c>
    </row>
    <row r="24">
      <c r="B24" s="103"/>
      <c r="C24" s="104"/>
      <c r="D24" s="103"/>
      <c r="E24" s="103"/>
      <c r="F24" s="105"/>
      <c r="G24" s="106"/>
      <c r="H24" s="10" t="str">
        <f t="shared" si="1"/>
        <v/>
      </c>
    </row>
    <row r="25">
      <c r="B25" s="103"/>
      <c r="C25" s="104"/>
      <c r="D25" s="103"/>
      <c r="E25" s="103"/>
      <c r="F25" s="105"/>
      <c r="G25" s="106"/>
      <c r="H25" s="10" t="str">
        <f t="shared" si="1"/>
        <v/>
      </c>
    </row>
    <row r="26">
      <c r="B26" s="103"/>
      <c r="C26" s="104"/>
      <c r="D26" s="103"/>
      <c r="E26" s="103"/>
      <c r="F26" s="105"/>
      <c r="G26" s="106"/>
      <c r="H26" s="10" t="str">
        <f t="shared" si="1"/>
        <v/>
      </c>
    </row>
    <row r="27">
      <c r="B27" s="103"/>
      <c r="C27" s="104"/>
      <c r="D27" s="103"/>
      <c r="E27" s="103"/>
      <c r="F27" s="105"/>
      <c r="G27" s="106"/>
      <c r="H27" s="10" t="str">
        <f t="shared" si="1"/>
        <v/>
      </c>
    </row>
    <row r="28">
      <c r="B28" s="103"/>
      <c r="C28" s="104"/>
      <c r="D28" s="103"/>
      <c r="E28" s="103"/>
      <c r="F28" s="105"/>
      <c r="G28" s="106"/>
      <c r="H28" s="10" t="str">
        <f t="shared" si="1"/>
        <v/>
      </c>
    </row>
    <row r="29">
      <c r="B29" s="103"/>
      <c r="C29" s="104"/>
      <c r="D29" s="103"/>
      <c r="E29" s="103"/>
      <c r="F29" s="105"/>
      <c r="G29" s="106"/>
      <c r="H29" s="10" t="str">
        <f t="shared" si="1"/>
        <v/>
      </c>
    </row>
    <row r="30">
      <c r="B30" s="103"/>
      <c r="C30" s="104"/>
      <c r="D30" s="103"/>
      <c r="E30" s="103"/>
      <c r="F30" s="105"/>
      <c r="G30" s="106"/>
      <c r="H30" s="10" t="str">
        <f t="shared" si="1"/>
        <v/>
      </c>
    </row>
    <row r="31">
      <c r="B31" s="103"/>
      <c r="C31" s="104"/>
      <c r="D31" s="103"/>
      <c r="E31" s="103"/>
      <c r="F31" s="105"/>
      <c r="G31" s="106"/>
      <c r="H31" s="10" t="str">
        <f t="shared" si="1"/>
        <v/>
      </c>
    </row>
    <row r="32">
      <c r="B32" s="103"/>
      <c r="C32" s="104"/>
      <c r="D32" s="103"/>
      <c r="E32" s="103"/>
      <c r="F32" s="105"/>
      <c r="G32" s="106"/>
      <c r="H32" s="10" t="str">
        <f t="shared" si="1"/>
        <v/>
      </c>
    </row>
    <row r="33">
      <c r="B33" s="103"/>
      <c r="C33" s="104"/>
      <c r="D33" s="103"/>
      <c r="E33" s="103"/>
      <c r="F33" s="105"/>
      <c r="G33" s="106"/>
      <c r="H33" s="10" t="str">
        <f t="shared" si="1"/>
        <v/>
      </c>
    </row>
    <row r="34">
      <c r="B34" s="103"/>
      <c r="C34" s="104"/>
      <c r="D34" s="103"/>
      <c r="E34" s="103"/>
      <c r="F34" s="105"/>
      <c r="G34" s="106"/>
      <c r="H34" s="10" t="str">
        <f t="shared" si="1"/>
        <v/>
      </c>
    </row>
    <row r="35">
      <c r="B35" s="103"/>
      <c r="C35" s="104"/>
      <c r="D35" s="103"/>
      <c r="E35" s="103"/>
      <c r="F35" s="105"/>
      <c r="G35" s="106"/>
      <c r="H35" s="10" t="str">
        <f t="shared" si="1"/>
        <v/>
      </c>
    </row>
    <row r="36">
      <c r="B36" s="103"/>
      <c r="C36" s="104"/>
      <c r="D36" s="103"/>
      <c r="E36" s="103"/>
      <c r="F36" s="105"/>
      <c r="G36" s="106"/>
      <c r="H36" s="10" t="str">
        <f t="shared" si="1"/>
        <v/>
      </c>
    </row>
    <row r="37">
      <c r="B37" s="103"/>
      <c r="C37" s="104"/>
      <c r="D37" s="103"/>
      <c r="E37" s="103"/>
      <c r="F37" s="105"/>
      <c r="G37" s="106"/>
      <c r="H37" s="10" t="str">
        <f t="shared" si="1"/>
        <v/>
      </c>
    </row>
    <row r="38">
      <c r="B38" s="103"/>
      <c r="C38" s="104"/>
      <c r="D38" s="103"/>
      <c r="E38" s="103"/>
      <c r="F38" s="105"/>
      <c r="G38" s="106"/>
      <c r="H38" s="10" t="str">
        <f t="shared" si="1"/>
        <v/>
      </c>
    </row>
    <row r="39">
      <c r="B39" s="103"/>
      <c r="C39" s="104"/>
      <c r="D39" s="103"/>
      <c r="E39" s="103"/>
      <c r="F39" s="105"/>
      <c r="G39" s="106"/>
      <c r="H39" s="10" t="str">
        <f t="shared" si="1"/>
        <v/>
      </c>
    </row>
    <row r="40">
      <c r="B40" s="103"/>
      <c r="C40" s="104"/>
      <c r="D40" s="103"/>
      <c r="E40" s="103"/>
      <c r="F40" s="105"/>
      <c r="G40" s="106"/>
      <c r="H40" s="10" t="str">
        <f t="shared" si="1"/>
        <v/>
      </c>
    </row>
    <row r="41">
      <c r="B41" s="103"/>
      <c r="C41" s="104"/>
      <c r="D41" s="103"/>
      <c r="E41" s="103"/>
      <c r="F41" s="105"/>
      <c r="G41" s="106"/>
      <c r="H41" s="10" t="str">
        <f t="shared" si="1"/>
        <v/>
      </c>
    </row>
    <row r="42">
      <c r="B42" s="103"/>
      <c r="C42" s="104"/>
      <c r="D42" s="103"/>
      <c r="E42" s="103"/>
      <c r="F42" s="105"/>
      <c r="G42" s="106"/>
      <c r="H42" s="10" t="str">
        <f t="shared" si="1"/>
        <v/>
      </c>
    </row>
    <row r="43">
      <c r="B43" s="103"/>
      <c r="C43" s="104"/>
      <c r="D43" s="103"/>
      <c r="E43" s="103"/>
      <c r="F43" s="105"/>
      <c r="G43" s="106"/>
      <c r="H43" s="10" t="str">
        <f t="shared" si="1"/>
        <v/>
      </c>
    </row>
    <row r="44">
      <c r="B44" s="103"/>
      <c r="C44" s="104"/>
      <c r="D44" s="103"/>
      <c r="E44" s="103"/>
      <c r="F44" s="105"/>
      <c r="G44" s="106"/>
      <c r="H44" s="10" t="str">
        <f t="shared" si="1"/>
        <v/>
      </c>
    </row>
    <row r="45">
      <c r="B45" s="103"/>
      <c r="C45" s="104"/>
      <c r="D45" s="103"/>
      <c r="E45" s="103"/>
      <c r="F45" s="105"/>
      <c r="G45" s="106"/>
      <c r="H45" s="10" t="str">
        <f t="shared" si="1"/>
        <v/>
      </c>
    </row>
    <row r="46">
      <c r="B46" s="103"/>
      <c r="C46" s="104"/>
      <c r="D46" s="103"/>
      <c r="E46" s="103"/>
      <c r="F46" s="105"/>
      <c r="G46" s="106"/>
      <c r="H46" s="10" t="str">
        <f t="shared" si="1"/>
        <v/>
      </c>
    </row>
    <row r="47">
      <c r="B47" s="103"/>
      <c r="C47" s="104"/>
      <c r="D47" s="103"/>
      <c r="E47" s="103"/>
      <c r="F47" s="105"/>
      <c r="G47" s="106"/>
      <c r="H47" s="10" t="str">
        <f t="shared" si="1"/>
        <v/>
      </c>
    </row>
    <row r="48">
      <c r="B48" s="103"/>
      <c r="C48" s="104"/>
      <c r="D48" s="103"/>
      <c r="E48" s="103"/>
      <c r="F48" s="105"/>
      <c r="G48" s="106"/>
      <c r="H48" s="10" t="str">
        <f t="shared" si="1"/>
        <v/>
      </c>
    </row>
    <row r="49">
      <c r="B49" s="103"/>
      <c r="C49" s="104"/>
      <c r="D49" s="103"/>
      <c r="E49" s="103"/>
      <c r="F49" s="105"/>
      <c r="G49" s="106"/>
      <c r="H49" s="10" t="str">
        <f t="shared" si="1"/>
        <v/>
      </c>
    </row>
    <row r="50">
      <c r="B50" s="103"/>
      <c r="C50" s="104"/>
      <c r="D50" s="103"/>
      <c r="E50" s="103"/>
      <c r="F50" s="105"/>
      <c r="G50" s="106"/>
      <c r="H50" s="10" t="str">
        <f t="shared" si="1"/>
        <v/>
      </c>
    </row>
    <row r="51">
      <c r="B51" s="103"/>
      <c r="C51" s="104"/>
      <c r="D51" s="103"/>
      <c r="E51" s="103"/>
      <c r="F51" s="105"/>
      <c r="G51" s="106"/>
      <c r="H51" s="10" t="str">
        <f t="shared" si="1"/>
        <v/>
      </c>
    </row>
    <row r="52">
      <c r="B52" s="103"/>
      <c r="C52" s="104"/>
      <c r="D52" s="103"/>
      <c r="E52" s="103"/>
      <c r="F52" s="105"/>
      <c r="G52" s="106"/>
      <c r="H52" s="10" t="str">
        <f t="shared" si="1"/>
        <v/>
      </c>
    </row>
    <row r="53">
      <c r="B53" s="103"/>
      <c r="C53" s="104"/>
      <c r="D53" s="103"/>
      <c r="E53" s="103"/>
      <c r="F53" s="105"/>
      <c r="G53" s="106"/>
      <c r="H53" s="10" t="str">
        <f t="shared" si="1"/>
        <v/>
      </c>
    </row>
    <row r="54">
      <c r="B54" s="103"/>
      <c r="C54" s="104"/>
      <c r="D54" s="103"/>
      <c r="E54" s="103"/>
      <c r="F54" s="105"/>
      <c r="G54" s="106"/>
      <c r="H54" s="10" t="str">
        <f t="shared" si="1"/>
        <v/>
      </c>
    </row>
    <row r="55">
      <c r="B55" s="103"/>
      <c r="C55" s="104"/>
      <c r="D55" s="103"/>
      <c r="E55" s="103"/>
      <c r="F55" s="105"/>
      <c r="G55" s="106"/>
      <c r="H55" s="10" t="str">
        <f t="shared" si="1"/>
        <v/>
      </c>
    </row>
    <row r="56">
      <c r="B56" s="103"/>
      <c r="C56" s="104"/>
      <c r="D56" s="103"/>
      <c r="E56" s="103"/>
      <c r="F56" s="105"/>
      <c r="G56" s="106"/>
      <c r="H56" s="10" t="str">
        <f t="shared" si="1"/>
        <v/>
      </c>
    </row>
    <row r="57">
      <c r="B57" s="103"/>
      <c r="C57" s="104"/>
      <c r="D57" s="103"/>
      <c r="E57" s="103"/>
      <c r="F57" s="105"/>
      <c r="G57" s="106"/>
      <c r="H57" s="10" t="str">
        <f t="shared" si="1"/>
        <v/>
      </c>
    </row>
    <row r="58">
      <c r="B58" s="103"/>
      <c r="C58" s="104"/>
      <c r="D58" s="103"/>
      <c r="E58" s="103"/>
      <c r="F58" s="105"/>
      <c r="G58" s="106"/>
      <c r="H58" s="10" t="str">
        <f t="shared" si="1"/>
        <v/>
      </c>
    </row>
    <row r="59">
      <c r="B59" s="103"/>
      <c r="C59" s="104"/>
      <c r="D59" s="103"/>
      <c r="E59" s="103"/>
      <c r="F59" s="105"/>
      <c r="G59" s="106"/>
      <c r="H59" s="10" t="str">
        <f t="shared" si="1"/>
        <v/>
      </c>
    </row>
    <row r="60">
      <c r="B60" s="103"/>
      <c r="C60" s="104"/>
      <c r="D60" s="103"/>
      <c r="E60" s="103"/>
      <c r="F60" s="105"/>
      <c r="G60" s="106"/>
      <c r="H60" s="10" t="str">
        <f t="shared" si="1"/>
        <v/>
      </c>
    </row>
    <row r="61">
      <c r="B61" s="103"/>
      <c r="C61" s="104"/>
      <c r="D61" s="103"/>
      <c r="E61" s="103"/>
      <c r="F61" s="105"/>
      <c r="G61" s="106"/>
      <c r="H61" s="10" t="str">
        <f t="shared" si="1"/>
        <v/>
      </c>
    </row>
    <row r="62">
      <c r="B62" s="103"/>
      <c r="C62" s="104"/>
      <c r="D62" s="103"/>
      <c r="E62" s="103"/>
      <c r="F62" s="105"/>
      <c r="G62" s="106"/>
      <c r="H62" s="10" t="str">
        <f t="shared" si="1"/>
        <v/>
      </c>
    </row>
    <row r="63">
      <c r="B63" s="103"/>
      <c r="C63" s="104"/>
      <c r="D63" s="103"/>
      <c r="E63" s="103"/>
      <c r="F63" s="105"/>
      <c r="G63" s="106"/>
      <c r="H63" s="10" t="str">
        <f t="shared" si="1"/>
        <v/>
      </c>
    </row>
    <row r="64">
      <c r="B64" s="103"/>
      <c r="C64" s="104"/>
      <c r="D64" s="103"/>
      <c r="E64" s="103"/>
      <c r="F64" s="105"/>
      <c r="G64" s="106"/>
      <c r="H64" s="10" t="str">
        <f t="shared" si="1"/>
        <v/>
      </c>
    </row>
    <row r="65">
      <c r="B65" s="103"/>
      <c r="C65" s="104"/>
      <c r="D65" s="103"/>
      <c r="E65" s="103"/>
      <c r="F65" s="105"/>
      <c r="G65" s="106"/>
      <c r="H65" s="10" t="str">
        <f t="shared" si="1"/>
        <v/>
      </c>
    </row>
    <row r="66">
      <c r="B66" s="103"/>
      <c r="C66" s="104"/>
      <c r="D66" s="103"/>
      <c r="E66" s="103"/>
      <c r="F66" s="105"/>
      <c r="G66" s="106"/>
      <c r="H66" s="10" t="str">
        <f t="shared" si="1"/>
        <v/>
      </c>
    </row>
    <row r="67">
      <c r="B67" s="103"/>
      <c r="C67" s="104"/>
      <c r="D67" s="103"/>
      <c r="E67" s="103"/>
      <c r="F67" s="105"/>
      <c r="G67" s="106"/>
      <c r="H67" s="10" t="str">
        <f t="shared" si="1"/>
        <v/>
      </c>
    </row>
    <row r="68">
      <c r="B68" s="103"/>
      <c r="C68" s="104"/>
      <c r="D68" s="103"/>
      <c r="E68" s="103"/>
      <c r="F68" s="105"/>
      <c r="G68" s="106"/>
      <c r="H68" s="10" t="str">
        <f t="shared" si="1"/>
        <v/>
      </c>
    </row>
    <row r="69">
      <c r="B69" s="103"/>
      <c r="C69" s="104"/>
      <c r="D69" s="103"/>
      <c r="E69" s="103"/>
      <c r="F69" s="105"/>
      <c r="G69" s="106"/>
      <c r="H69" s="10" t="str">
        <f t="shared" si="1"/>
        <v/>
      </c>
    </row>
    <row r="70">
      <c r="B70" s="103"/>
      <c r="C70" s="104"/>
      <c r="D70" s="103"/>
      <c r="E70" s="103"/>
      <c r="F70" s="105"/>
      <c r="G70" s="106"/>
      <c r="H70" s="10" t="str">
        <f t="shared" si="1"/>
        <v/>
      </c>
    </row>
    <row r="71">
      <c r="B71" s="103"/>
      <c r="C71" s="104"/>
      <c r="D71" s="103"/>
      <c r="E71" s="103"/>
      <c r="F71" s="105"/>
      <c r="G71" s="106"/>
      <c r="H71" s="10" t="str">
        <f t="shared" si="1"/>
        <v/>
      </c>
    </row>
    <row r="72">
      <c r="B72" s="103"/>
      <c r="C72" s="104"/>
      <c r="D72" s="103"/>
      <c r="E72" s="103"/>
      <c r="F72" s="105"/>
      <c r="G72" s="106"/>
      <c r="H72" s="10" t="str">
        <f t="shared" si="1"/>
        <v/>
      </c>
    </row>
    <row r="73">
      <c r="B73" s="103"/>
      <c r="C73" s="104"/>
      <c r="D73" s="103"/>
      <c r="E73" s="103"/>
      <c r="F73" s="105"/>
      <c r="G73" s="106"/>
      <c r="H73" s="10" t="str">
        <f t="shared" si="1"/>
        <v/>
      </c>
    </row>
    <row r="74">
      <c r="B74" s="103"/>
      <c r="C74" s="104"/>
      <c r="D74" s="103"/>
      <c r="E74" s="103"/>
      <c r="F74" s="105"/>
      <c r="G74" s="106"/>
      <c r="H74" s="10" t="str">
        <f t="shared" si="1"/>
        <v/>
      </c>
    </row>
    <row r="75">
      <c r="B75" s="103"/>
      <c r="C75" s="104"/>
      <c r="D75" s="103"/>
      <c r="E75" s="103"/>
      <c r="F75" s="105"/>
      <c r="G75" s="106"/>
      <c r="H75" s="10" t="str">
        <f t="shared" si="1"/>
        <v/>
      </c>
    </row>
    <row r="76">
      <c r="B76" s="103"/>
      <c r="C76" s="104"/>
      <c r="D76" s="103"/>
      <c r="E76" s="103"/>
      <c r="F76" s="105"/>
      <c r="G76" s="106"/>
      <c r="H76" s="10" t="str">
        <f t="shared" si="1"/>
        <v/>
      </c>
    </row>
    <row r="77">
      <c r="B77" s="103"/>
      <c r="C77" s="104"/>
      <c r="D77" s="103"/>
      <c r="E77" s="103"/>
      <c r="F77" s="105"/>
      <c r="G77" s="106"/>
      <c r="H77" s="10" t="str">
        <f t="shared" si="1"/>
        <v/>
      </c>
    </row>
    <row r="78">
      <c r="B78" s="103"/>
      <c r="C78" s="104"/>
      <c r="D78" s="103"/>
      <c r="E78" s="103"/>
      <c r="F78" s="105"/>
      <c r="G78" s="106"/>
      <c r="H78" s="10" t="str">
        <f t="shared" si="1"/>
        <v/>
      </c>
    </row>
    <row r="79">
      <c r="B79" s="103"/>
      <c r="C79" s="104"/>
      <c r="D79" s="103"/>
      <c r="E79" s="103"/>
      <c r="F79" s="105"/>
      <c r="G79" s="106"/>
      <c r="H79" s="10" t="str">
        <f t="shared" si="1"/>
        <v/>
      </c>
    </row>
    <row r="80">
      <c r="B80" s="103"/>
      <c r="C80" s="104"/>
      <c r="D80" s="103"/>
      <c r="E80" s="103"/>
      <c r="F80" s="105"/>
      <c r="G80" s="106"/>
      <c r="H80" s="10" t="str">
        <f t="shared" si="1"/>
        <v/>
      </c>
    </row>
    <row r="81">
      <c r="B81" s="103"/>
      <c r="C81" s="104"/>
      <c r="D81" s="103"/>
      <c r="E81" s="103"/>
      <c r="F81" s="105"/>
      <c r="G81" s="106"/>
      <c r="H81" s="10" t="str">
        <f t="shared" si="1"/>
        <v/>
      </c>
    </row>
    <row r="82">
      <c r="B82" s="103"/>
      <c r="C82" s="104"/>
      <c r="D82" s="103"/>
      <c r="E82" s="103"/>
      <c r="F82" s="105"/>
      <c r="G82" s="106"/>
      <c r="H82" s="10" t="str">
        <f t="shared" si="1"/>
        <v/>
      </c>
    </row>
    <row r="83">
      <c r="B83" s="103"/>
      <c r="C83" s="104"/>
      <c r="D83" s="103"/>
      <c r="E83" s="103"/>
      <c r="F83" s="105"/>
      <c r="G83" s="106"/>
      <c r="H83" s="10" t="str">
        <f t="shared" si="1"/>
        <v/>
      </c>
    </row>
    <row r="84">
      <c r="B84" s="103"/>
      <c r="C84" s="104"/>
      <c r="D84" s="103"/>
      <c r="E84" s="103"/>
      <c r="F84" s="105"/>
      <c r="G84" s="106"/>
      <c r="H84" s="10" t="str">
        <f t="shared" si="1"/>
        <v/>
      </c>
    </row>
    <row r="85">
      <c r="B85" s="103"/>
      <c r="C85" s="104"/>
      <c r="D85" s="103"/>
      <c r="E85" s="103"/>
      <c r="F85" s="105"/>
      <c r="G85" s="106"/>
      <c r="H85" s="10" t="str">
        <f t="shared" si="1"/>
        <v/>
      </c>
    </row>
    <row r="86">
      <c r="B86" s="103"/>
      <c r="C86" s="104"/>
      <c r="D86" s="103"/>
      <c r="E86" s="103"/>
      <c r="F86" s="105"/>
      <c r="G86" s="106"/>
      <c r="H86" s="10" t="str">
        <f t="shared" si="1"/>
        <v/>
      </c>
    </row>
    <row r="87">
      <c r="B87" s="103"/>
      <c r="C87" s="104"/>
      <c r="D87" s="103"/>
      <c r="E87" s="103"/>
      <c r="F87" s="105"/>
      <c r="G87" s="106"/>
      <c r="H87" s="10" t="str">
        <f t="shared" si="1"/>
        <v/>
      </c>
    </row>
    <row r="88">
      <c r="B88" s="103"/>
      <c r="C88" s="104"/>
      <c r="D88" s="103"/>
      <c r="E88" s="103"/>
      <c r="F88" s="105"/>
      <c r="G88" s="106"/>
      <c r="H88" s="10" t="str">
        <f t="shared" si="1"/>
        <v/>
      </c>
    </row>
    <row r="89">
      <c r="B89" s="103"/>
      <c r="C89" s="104"/>
      <c r="D89" s="103"/>
      <c r="E89" s="103"/>
      <c r="F89" s="105"/>
      <c r="G89" s="106"/>
      <c r="H89" s="10" t="str">
        <f t="shared" si="1"/>
        <v/>
      </c>
    </row>
    <row r="90">
      <c r="B90" s="103"/>
      <c r="C90" s="104"/>
      <c r="D90" s="103"/>
      <c r="E90" s="103"/>
      <c r="F90" s="105"/>
      <c r="G90" s="106"/>
      <c r="H90" s="10" t="str">
        <f t="shared" si="1"/>
        <v/>
      </c>
    </row>
    <row r="91">
      <c r="B91" s="103"/>
      <c r="C91" s="104"/>
      <c r="D91" s="103"/>
      <c r="E91" s="103"/>
      <c r="F91" s="105"/>
      <c r="G91" s="106"/>
      <c r="H91" s="10" t="str">
        <f t="shared" si="1"/>
        <v/>
      </c>
    </row>
    <row r="92">
      <c r="B92" s="103"/>
      <c r="C92" s="104"/>
      <c r="D92" s="103"/>
      <c r="E92" s="103"/>
      <c r="F92" s="105"/>
      <c r="G92" s="106"/>
      <c r="H92" s="10" t="str">
        <f t="shared" si="1"/>
        <v/>
      </c>
    </row>
    <row r="93">
      <c r="B93" s="103"/>
      <c r="C93" s="104"/>
      <c r="D93" s="103"/>
      <c r="E93" s="103"/>
      <c r="F93" s="105"/>
      <c r="G93" s="106"/>
      <c r="H93" s="10" t="str">
        <f t="shared" si="1"/>
        <v/>
      </c>
    </row>
    <row r="94">
      <c r="B94" s="103"/>
      <c r="C94" s="104"/>
      <c r="D94" s="103"/>
      <c r="E94" s="103"/>
      <c r="F94" s="105"/>
      <c r="G94" s="106"/>
      <c r="H94" s="10" t="str">
        <f t="shared" si="1"/>
        <v/>
      </c>
    </row>
    <row r="95">
      <c r="B95" s="103"/>
      <c r="C95" s="104"/>
      <c r="D95" s="103"/>
      <c r="E95" s="103"/>
      <c r="F95" s="105"/>
      <c r="G95" s="106"/>
      <c r="H95" s="10" t="str">
        <f t="shared" si="1"/>
        <v/>
      </c>
    </row>
    <row r="96">
      <c r="B96" s="103"/>
      <c r="C96" s="104"/>
      <c r="D96" s="103"/>
      <c r="E96" s="103"/>
      <c r="F96" s="105"/>
      <c r="G96" s="106"/>
      <c r="H96" s="10" t="str">
        <f t="shared" si="1"/>
        <v/>
      </c>
    </row>
    <row r="97">
      <c r="B97" s="103"/>
      <c r="C97" s="104"/>
      <c r="D97" s="103"/>
      <c r="E97" s="103"/>
      <c r="F97" s="105"/>
      <c r="G97" s="106"/>
      <c r="H97" s="10" t="str">
        <f t="shared" si="1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7" t="s">
        <v>142</v>
      </c>
      <c r="C1" s="40"/>
      <c r="D1" s="41"/>
    </row>
    <row r="2" ht="15.75" customHeight="1">
      <c r="B2" s="108" t="s">
        <v>143</v>
      </c>
      <c r="C2" s="40"/>
      <c r="D2" s="41"/>
    </row>
    <row r="3" ht="7.5" customHeight="1"/>
    <row r="4" ht="66.75" customHeight="1">
      <c r="B4" s="109" t="s">
        <v>144</v>
      </c>
      <c r="C4" s="110" t="s">
        <v>145</v>
      </c>
      <c r="D4" s="111" t="s">
        <v>146</v>
      </c>
    </row>
    <row r="5" ht="48.75" customHeight="1">
      <c r="B5" s="109" t="s">
        <v>147</v>
      </c>
      <c r="C5" s="110" t="s">
        <v>148</v>
      </c>
      <c r="D5" s="111" t="s">
        <v>149</v>
      </c>
    </row>
    <row r="6" ht="54.75" customHeight="1">
      <c r="B6" s="109" t="s">
        <v>150</v>
      </c>
      <c r="C6" s="110" t="s">
        <v>151</v>
      </c>
      <c r="D6" s="111" t="s">
        <v>152</v>
      </c>
    </row>
    <row r="7" ht="31.5" customHeight="1">
      <c r="B7" s="109" t="s">
        <v>153</v>
      </c>
      <c r="C7" s="110" t="s">
        <v>154</v>
      </c>
      <c r="D7" s="111" t="s">
        <v>155</v>
      </c>
    </row>
    <row r="8" ht="75.75" customHeight="1">
      <c r="B8" s="112" t="s">
        <v>156</v>
      </c>
      <c r="C8" s="113" t="s">
        <v>157</v>
      </c>
      <c r="D8" s="111" t="s">
        <v>158</v>
      </c>
    </row>
    <row r="9" ht="42.0" customHeight="1">
      <c r="B9" s="112" t="s">
        <v>159</v>
      </c>
      <c r="C9" s="113" t="s">
        <v>160</v>
      </c>
      <c r="D9" s="111" t="s">
        <v>161</v>
      </c>
    </row>
    <row r="10" ht="64.5" customHeight="1">
      <c r="B10" s="114" t="s">
        <v>162</v>
      </c>
      <c r="C10" s="115" t="s">
        <v>163</v>
      </c>
      <c r="D10" s="111" t="s">
        <v>164</v>
      </c>
    </row>
    <row r="11" ht="60.0" customHeight="1">
      <c r="B11" s="114" t="s">
        <v>165</v>
      </c>
      <c r="C11" s="115" t="s">
        <v>166</v>
      </c>
      <c r="D11" s="111" t="s">
        <v>167</v>
      </c>
    </row>
    <row r="12" ht="82.5" customHeight="1">
      <c r="B12" s="116" t="s">
        <v>168</v>
      </c>
      <c r="C12" s="117" t="s">
        <v>169</v>
      </c>
      <c r="D12" s="111" t="s">
        <v>170</v>
      </c>
    </row>
    <row r="13" ht="67.5" customHeight="1">
      <c r="B13" s="116" t="s">
        <v>171</v>
      </c>
      <c r="C13" s="117" t="s">
        <v>172</v>
      </c>
      <c r="D13" s="111" t="s">
        <v>173</v>
      </c>
    </row>
    <row r="14" ht="81.75" customHeight="1">
      <c r="B14" s="118" t="s">
        <v>174</v>
      </c>
      <c r="C14" s="119" t="s">
        <v>175</v>
      </c>
      <c r="D14" s="111" t="s">
        <v>176</v>
      </c>
    </row>
    <row r="15" ht="72.0" customHeight="1">
      <c r="B15" s="120" t="s">
        <v>177</v>
      </c>
      <c r="C15" s="121" t="s">
        <v>178</v>
      </c>
      <c r="D15" s="111" t="s">
        <v>179</v>
      </c>
    </row>
    <row r="16" ht="61.5" customHeight="1">
      <c r="B16" s="114" t="s">
        <v>180</v>
      </c>
      <c r="C16" s="115" t="s">
        <v>181</v>
      </c>
      <c r="D16" s="111" t="s">
        <v>182</v>
      </c>
    </row>
    <row r="17" ht="67.5" customHeight="1">
      <c r="B17" s="120" t="s">
        <v>183</v>
      </c>
      <c r="C17" s="121" t="s">
        <v>184</v>
      </c>
      <c r="D17" s="111" t="s">
        <v>185</v>
      </c>
    </row>
    <row r="18" ht="66.75" customHeight="1">
      <c r="B18" s="116" t="s">
        <v>186</v>
      </c>
      <c r="C18" s="117" t="s">
        <v>187</v>
      </c>
      <c r="D18" s="111" t="s">
        <v>188</v>
      </c>
    </row>
    <row r="20" ht="19.5" customHeight="1">
      <c r="B20" s="122" t="s">
        <v>189</v>
      </c>
      <c r="C20" s="40"/>
      <c r="D20" s="41"/>
    </row>
    <row r="21" ht="18.0" customHeight="1">
      <c r="B21" s="123" t="s">
        <v>67</v>
      </c>
      <c r="C21" s="123" t="s">
        <v>190</v>
      </c>
      <c r="D21" s="123" t="s">
        <v>191</v>
      </c>
    </row>
    <row r="22" ht="16.5" customHeight="1">
      <c r="B22" s="124" t="s">
        <v>38</v>
      </c>
      <c r="C22" s="125" t="s">
        <v>192</v>
      </c>
      <c r="D22" s="126" t="s">
        <v>193</v>
      </c>
    </row>
    <row r="23" ht="16.5" customHeight="1">
      <c r="B23" s="124" t="s">
        <v>26</v>
      </c>
      <c r="C23" s="125" t="s">
        <v>194</v>
      </c>
      <c r="D23" s="126" t="s">
        <v>195</v>
      </c>
    </row>
    <row r="24" ht="16.5" customHeight="1">
      <c r="B24" s="127" t="s">
        <v>79</v>
      </c>
      <c r="C24" s="128" t="s">
        <v>196</v>
      </c>
      <c r="D24" s="126" t="s">
        <v>197</v>
      </c>
    </row>
    <row r="25" ht="16.5" customHeight="1">
      <c r="B25" s="124" t="s">
        <v>81</v>
      </c>
      <c r="C25" s="125" t="s">
        <v>198</v>
      </c>
      <c r="D25" s="126" t="s">
        <v>199</v>
      </c>
    </row>
    <row r="26" ht="16.5" customHeight="1">
      <c r="B26" s="129" t="s">
        <v>35</v>
      </c>
      <c r="C26" s="130" t="s">
        <v>200</v>
      </c>
      <c r="D26" s="126" t="s">
        <v>201</v>
      </c>
    </row>
    <row r="27" ht="16.5" customHeight="1">
      <c r="B27" s="131" t="s">
        <v>86</v>
      </c>
      <c r="C27" s="132" t="s">
        <v>202</v>
      </c>
      <c r="D27" s="126" t="s">
        <v>203</v>
      </c>
    </row>
    <row r="28" ht="16.5" customHeight="1">
      <c r="B28" s="124" t="s">
        <v>49</v>
      </c>
      <c r="C28" s="125" t="s">
        <v>204</v>
      </c>
      <c r="D28" s="126" t="s">
        <v>205</v>
      </c>
    </row>
    <row r="29" ht="16.5" customHeight="1">
      <c r="B29" s="124" t="s">
        <v>47</v>
      </c>
      <c r="C29" s="125" t="s">
        <v>206</v>
      </c>
      <c r="D29" s="126" t="s">
        <v>207</v>
      </c>
    </row>
    <row r="30" ht="16.5" customHeight="1">
      <c r="B30" s="129" t="s">
        <v>19</v>
      </c>
      <c r="C30" s="130" t="s">
        <v>208</v>
      </c>
      <c r="D30" s="126" t="s">
        <v>209</v>
      </c>
    </row>
    <row r="31" ht="16.5" customHeight="1">
      <c r="B31" s="129" t="s">
        <v>43</v>
      </c>
      <c r="C31" s="130" t="s">
        <v>210</v>
      </c>
      <c r="D31" s="126" t="s">
        <v>211</v>
      </c>
    </row>
    <row r="32" ht="16.5" customHeight="1">
      <c r="B32" s="133" t="s">
        <v>111</v>
      </c>
      <c r="C32" s="134" t="s">
        <v>212</v>
      </c>
      <c r="D32" s="126" t="s">
        <v>213</v>
      </c>
    </row>
    <row r="33" ht="16.5" customHeight="1">
      <c r="B33" s="124" t="s">
        <v>23</v>
      </c>
      <c r="C33" s="125" t="s">
        <v>214</v>
      </c>
      <c r="D33" s="126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216</v>
      </c>
      <c r="B1" s="135" t="s">
        <v>217</v>
      </c>
      <c r="C1" s="135" t="s">
        <v>132</v>
      </c>
      <c r="D1" s="135"/>
      <c r="E1" s="135"/>
    </row>
    <row r="2">
      <c r="A2" s="136">
        <v>46165.0</v>
      </c>
      <c r="B2" s="135" t="s">
        <v>218</v>
      </c>
      <c r="C2" s="137">
        <v>10000.0</v>
      </c>
      <c r="D2" s="135"/>
      <c r="E2" s="135"/>
    </row>
    <row r="3">
      <c r="A3" s="136">
        <v>46166.0</v>
      </c>
      <c r="B3" s="135" t="s">
        <v>219</v>
      </c>
      <c r="C3" s="137">
        <v>19000.0</v>
      </c>
      <c r="D3" s="135"/>
      <c r="E3" s="135"/>
    </row>
    <row r="4">
      <c r="A4" s="136">
        <v>46168.0</v>
      </c>
      <c r="B4" s="135" t="s">
        <v>220</v>
      </c>
      <c r="C4" s="138">
        <v>2500.0</v>
      </c>
      <c r="D4" s="135"/>
      <c r="E4" s="135"/>
    </row>
    <row r="5">
      <c r="A5" s="136">
        <v>46169.0</v>
      </c>
      <c r="B5" s="135" t="s">
        <v>221</v>
      </c>
      <c r="C5" s="137">
        <v>29050.0</v>
      </c>
      <c r="D5" s="135"/>
      <c r="E5" s="135"/>
    </row>
    <row r="6">
      <c r="A6" s="136">
        <v>46169.0</v>
      </c>
      <c r="B6" s="135" t="s">
        <v>222</v>
      </c>
      <c r="C6" s="138">
        <v>100.0</v>
      </c>
      <c r="D6" s="135"/>
      <c r="E6" s="135"/>
    </row>
    <row r="7">
      <c r="A7" s="136">
        <v>46169.0</v>
      </c>
      <c r="B7" s="135" t="s">
        <v>223</v>
      </c>
      <c r="C7" s="138">
        <v>300.0</v>
      </c>
      <c r="D7" s="135"/>
      <c r="E7" s="135"/>
    </row>
    <row r="8">
      <c r="A8" s="136">
        <v>46169.0</v>
      </c>
      <c r="B8" s="135" t="s">
        <v>224</v>
      </c>
      <c r="C8" s="138">
        <v>370.0</v>
      </c>
      <c r="D8" s="135"/>
      <c r="E8" s="135"/>
    </row>
    <row r="9">
      <c r="A9" s="136">
        <v>46169.0</v>
      </c>
      <c r="B9" s="135" t="s">
        <v>225</v>
      </c>
      <c r="C9" s="138">
        <v>2494.0</v>
      </c>
      <c r="D9" s="135"/>
      <c r="E9" s="135"/>
    </row>
    <row r="10">
      <c r="A10" s="136">
        <v>46169.0</v>
      </c>
      <c r="B10" s="135" t="s">
        <v>226</v>
      </c>
      <c r="C10" s="138">
        <v>5000.0</v>
      </c>
      <c r="D10" s="135"/>
      <c r="E10" s="135"/>
    </row>
    <row r="11">
      <c r="A11" s="136">
        <v>46169.0</v>
      </c>
      <c r="B11" s="135" t="s">
        <v>227</v>
      </c>
      <c r="C11" s="137">
        <v>29000.0</v>
      </c>
      <c r="D11" s="135" t="s">
        <v>228</v>
      </c>
      <c r="E11" s="138">
        <v>24000.0</v>
      </c>
    </row>
    <row r="12">
      <c r="A12" s="136">
        <v>46169.0</v>
      </c>
      <c r="B12" s="135" t="s">
        <v>229</v>
      </c>
      <c r="C12" s="138">
        <v>400.0</v>
      </c>
      <c r="D12" s="135" t="s">
        <v>230</v>
      </c>
      <c r="E12" s="137">
        <v>53000.0</v>
      </c>
    </row>
    <row r="13">
      <c r="A13" s="136">
        <v>46169.0</v>
      </c>
      <c r="B13" s="135" t="s">
        <v>231</v>
      </c>
      <c r="C13" s="138">
        <v>600.0</v>
      </c>
      <c r="D13" s="135"/>
      <c r="E13" s="135"/>
    </row>
    <row r="14">
      <c r="A14" s="136">
        <v>46170.0</v>
      </c>
      <c r="B14" s="135"/>
      <c r="C14" s="135"/>
      <c r="D14" s="135"/>
      <c r="E14" s="135"/>
    </row>
    <row r="22">
      <c r="A22" s="135" t="s">
        <v>232</v>
      </c>
      <c r="B22" s="135" t="s">
        <v>216</v>
      </c>
      <c r="C22" s="135" t="s">
        <v>233</v>
      </c>
      <c r="D22" s="135" t="s">
        <v>132</v>
      </c>
      <c r="E22" s="135" t="s">
        <v>234</v>
      </c>
    </row>
    <row r="23">
      <c r="A23" s="135" t="s">
        <v>235</v>
      </c>
      <c r="B23" s="135" t="s">
        <v>236</v>
      </c>
      <c r="C23" s="135" t="s">
        <v>237</v>
      </c>
      <c r="D23" s="138">
        <v>3150.0</v>
      </c>
      <c r="E23" s="139">
        <v>46464.0</v>
      </c>
    </row>
    <row r="24">
      <c r="A24" s="135" t="s">
        <v>235</v>
      </c>
      <c r="B24" s="135" t="s">
        <v>236</v>
      </c>
      <c r="C24" s="135" t="s">
        <v>238</v>
      </c>
      <c r="D24" s="138">
        <v>2650.0</v>
      </c>
      <c r="E24" s="139">
        <v>46219.0</v>
      </c>
    </row>
    <row r="25">
      <c r="A25" s="135" t="s">
        <v>235</v>
      </c>
      <c r="B25" s="135" t="s">
        <v>236</v>
      </c>
      <c r="C25" s="135" t="s">
        <v>239</v>
      </c>
      <c r="D25" s="138">
        <v>2600.0</v>
      </c>
      <c r="E25" s="139">
        <v>46828.0</v>
      </c>
    </row>
    <row r="26">
      <c r="A26" s="135" t="s">
        <v>235</v>
      </c>
      <c r="B26" s="135" t="s">
        <v>236</v>
      </c>
      <c r="C26" s="135" t="s">
        <v>240</v>
      </c>
      <c r="D26" s="138">
        <v>2680.0</v>
      </c>
      <c r="E26" s="140">
        <v>46863.0</v>
      </c>
    </row>
    <row r="27">
      <c r="A27" s="135" t="s">
        <v>241</v>
      </c>
      <c r="B27" s="135" t="s">
        <v>242</v>
      </c>
      <c r="C27" s="135" t="s">
        <v>243</v>
      </c>
      <c r="D27" s="138">
        <v>5390.0</v>
      </c>
      <c r="E27" s="139">
        <v>46764.0</v>
      </c>
    </row>
    <row r="28">
      <c r="A28" s="135" t="s">
        <v>241</v>
      </c>
      <c r="B28" s="135" t="s">
        <v>242</v>
      </c>
      <c r="C28" s="135" t="s">
        <v>244</v>
      </c>
      <c r="D28" s="138">
        <v>3235.0</v>
      </c>
      <c r="E28" s="139">
        <v>46673.0</v>
      </c>
    </row>
    <row r="29">
      <c r="A29" s="135" t="s">
        <v>241</v>
      </c>
      <c r="B29" s="135" t="s">
        <v>242</v>
      </c>
      <c r="C29" s="135" t="s">
        <v>245</v>
      </c>
      <c r="D29" s="138">
        <v>1230.0</v>
      </c>
      <c r="E29" s="135" t="s">
        <v>246</v>
      </c>
    </row>
    <row r="30">
      <c r="A30" s="135" t="s">
        <v>247</v>
      </c>
      <c r="B30" s="135"/>
      <c r="C30" s="135" t="s">
        <v>237</v>
      </c>
      <c r="D30" s="138">
        <v>2960.0</v>
      </c>
      <c r="E30" s="135"/>
    </row>
    <row r="31">
      <c r="A31" s="135" t="s">
        <v>247</v>
      </c>
      <c r="B31" s="135"/>
      <c r="C31" s="135" t="s">
        <v>243</v>
      </c>
      <c r="D31" s="138">
        <v>2960.0</v>
      </c>
      <c r="E31" s="135"/>
    </row>
    <row r="32">
      <c r="A32" s="135" t="s">
        <v>248</v>
      </c>
      <c r="B32" s="135" t="s">
        <v>249</v>
      </c>
      <c r="C32" s="135"/>
      <c r="D32" s="138">
        <v>5000.0</v>
      </c>
      <c r="E32" s="135" t="s">
        <v>250</v>
      </c>
    </row>
    <row r="42">
      <c r="A42" s="141" t="s">
        <v>251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2" t="s">
        <v>6</v>
      </c>
      <c r="B45" s="142" t="s">
        <v>252</v>
      </c>
      <c r="C45" s="142" t="s">
        <v>253</v>
      </c>
      <c r="D45" s="142" t="s">
        <v>254</v>
      </c>
      <c r="E45" s="142" t="s">
        <v>255</v>
      </c>
      <c r="F45" s="142" t="s">
        <v>256</v>
      </c>
      <c r="G45" s="142" t="s">
        <v>257</v>
      </c>
      <c r="H45" s="142" t="s">
        <v>258</v>
      </c>
      <c r="I45" s="142" t="s">
        <v>259</v>
      </c>
      <c r="J45" s="142" t="s">
        <v>260</v>
      </c>
    </row>
    <row r="46">
      <c r="A46" s="143" t="s">
        <v>261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262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263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25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3" t="s">
        <v>264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1" t="s">
        <v>265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3" t="s">
        <v>266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216</v>
      </c>
      <c r="B61" s="166" t="s">
        <v>267</v>
      </c>
      <c r="C61" s="166" t="s">
        <v>132</v>
      </c>
      <c r="D61" s="166" t="s">
        <v>268</v>
      </c>
      <c r="E61" s="166" t="s">
        <v>269</v>
      </c>
      <c r="F61" s="166" t="s">
        <v>270</v>
      </c>
      <c r="G61" s="166" t="s">
        <v>132</v>
      </c>
      <c r="H61" s="135"/>
      <c r="I61" s="166" t="s">
        <v>271</v>
      </c>
      <c r="J61" s="135" t="s">
        <v>272</v>
      </c>
    </row>
    <row r="62">
      <c r="A62" s="136">
        <v>46143.0</v>
      </c>
      <c r="B62" s="135" t="s">
        <v>273</v>
      </c>
      <c r="C62" s="167">
        <v>11839.0</v>
      </c>
      <c r="D62" s="168" t="b">
        <v>1</v>
      </c>
      <c r="E62" s="135" t="s">
        <v>274</v>
      </c>
      <c r="F62" s="135" t="s">
        <v>275</v>
      </c>
      <c r="G62" s="167">
        <v>71000.0</v>
      </c>
      <c r="H62" s="135"/>
      <c r="I62" s="166" t="s">
        <v>276</v>
      </c>
      <c r="J62" s="167">
        <f>SUM(C62:C1000)</f>
        <v>84657</v>
      </c>
    </row>
    <row r="63">
      <c r="A63" s="136">
        <v>46144.0</v>
      </c>
      <c r="B63" s="135" t="s">
        <v>277</v>
      </c>
      <c r="C63" s="167">
        <v>3850.0</v>
      </c>
      <c r="D63" s="168" t="b">
        <v>1</v>
      </c>
      <c r="E63" s="135" t="s">
        <v>278</v>
      </c>
      <c r="F63" s="135"/>
      <c r="G63" s="169"/>
      <c r="H63" s="135"/>
      <c r="I63" s="166" t="s">
        <v>258</v>
      </c>
      <c r="J63" s="167">
        <f>SUMIFS(C62:C1000, D62:D1000, TRUE)</f>
        <v>50435</v>
      </c>
    </row>
    <row r="64">
      <c r="A64" s="136">
        <v>46145.0</v>
      </c>
      <c r="B64" s="135" t="s">
        <v>279</v>
      </c>
      <c r="C64" s="167">
        <v>4627.0</v>
      </c>
      <c r="D64" s="168" t="b">
        <v>1</v>
      </c>
      <c r="E64" s="135"/>
      <c r="F64" s="135"/>
      <c r="G64" s="169"/>
      <c r="H64" s="135"/>
      <c r="I64" s="166" t="s">
        <v>280</v>
      </c>
      <c r="J64" s="167">
        <f>SUMIFS(C62:C1000, D62:D1000, FALSE)</f>
        <v>34222</v>
      </c>
    </row>
    <row r="65">
      <c r="A65" s="136">
        <v>46147.0</v>
      </c>
      <c r="B65" s="135" t="s">
        <v>281</v>
      </c>
      <c r="C65" s="167">
        <v>5000.0</v>
      </c>
      <c r="D65" s="168" t="b">
        <v>1</v>
      </c>
      <c r="E65" s="135"/>
      <c r="F65" s="135"/>
      <c r="G65" s="169"/>
      <c r="H65" s="135"/>
      <c r="I65" s="166" t="s">
        <v>282</v>
      </c>
      <c r="J65" s="167">
        <f>SUM(G62:G1000)</f>
        <v>71000</v>
      </c>
    </row>
    <row r="66">
      <c r="A66" s="136">
        <v>46167.0</v>
      </c>
      <c r="B66" s="135" t="s">
        <v>283</v>
      </c>
      <c r="C66" s="167">
        <v>18972.0</v>
      </c>
      <c r="D66" s="168" t="b">
        <v>0</v>
      </c>
      <c r="E66" s="170">
        <v>97110.0</v>
      </c>
      <c r="F66" s="135"/>
      <c r="G66" s="169"/>
      <c r="H66" s="135"/>
      <c r="I66" s="166" t="s">
        <v>284</v>
      </c>
      <c r="J66" s="167">
        <f>J65-J62</f>
        <v>-13657</v>
      </c>
    </row>
    <row r="67">
      <c r="A67" s="136">
        <v>46146.0</v>
      </c>
      <c r="B67" s="135" t="s">
        <v>285</v>
      </c>
      <c r="C67" s="167">
        <v>13625.0</v>
      </c>
      <c r="D67" s="168" t="b">
        <v>1</v>
      </c>
      <c r="E67" s="135" t="s">
        <v>286</v>
      </c>
      <c r="F67" s="135"/>
      <c r="G67" s="169"/>
      <c r="H67" s="135"/>
      <c r="I67" s="135"/>
      <c r="J67" s="135"/>
    </row>
    <row r="68">
      <c r="A68" s="136">
        <v>46145.0</v>
      </c>
      <c r="B68" s="135" t="s">
        <v>287</v>
      </c>
      <c r="C68" s="167">
        <v>2494.0</v>
      </c>
      <c r="D68" s="168" t="b">
        <v>1</v>
      </c>
      <c r="E68" s="135"/>
      <c r="F68" s="135"/>
      <c r="G68" s="169"/>
      <c r="H68" s="135"/>
      <c r="I68" s="135"/>
      <c r="J68" s="135"/>
    </row>
    <row r="69">
      <c r="A69" s="136">
        <v>46144.0</v>
      </c>
      <c r="B69" s="135" t="s">
        <v>288</v>
      </c>
      <c r="C69" s="167">
        <v>4500.0</v>
      </c>
      <c r="D69" s="168" t="b">
        <v>1</v>
      </c>
      <c r="E69" s="135"/>
      <c r="F69" s="135"/>
      <c r="G69" s="169"/>
      <c r="H69" s="135"/>
      <c r="I69" s="135"/>
      <c r="J69" s="135"/>
    </row>
    <row r="70">
      <c r="A70" s="136">
        <v>46152.0</v>
      </c>
      <c r="B70" s="135" t="s">
        <v>289</v>
      </c>
      <c r="C70" s="167">
        <v>1500.0</v>
      </c>
      <c r="D70" s="168" t="b">
        <v>1</v>
      </c>
      <c r="E70" s="135"/>
      <c r="F70" s="135"/>
      <c r="G70" s="169"/>
      <c r="H70" s="135"/>
      <c r="I70" s="135"/>
      <c r="J70" s="135"/>
    </row>
    <row r="71">
      <c r="A71" s="136">
        <v>46152.0</v>
      </c>
      <c r="B71" s="135" t="s">
        <v>290</v>
      </c>
      <c r="C71" s="167">
        <v>3000.0</v>
      </c>
      <c r="D71" s="168" t="b">
        <v>1</v>
      </c>
      <c r="E71" s="135"/>
      <c r="F71" s="135"/>
      <c r="G71" s="169"/>
      <c r="H71" s="135"/>
      <c r="I71" s="135"/>
      <c r="J71" s="135"/>
    </row>
    <row r="72">
      <c r="A72" s="136">
        <v>46157.0</v>
      </c>
      <c r="B72" s="135" t="s">
        <v>291</v>
      </c>
      <c r="C72" s="167">
        <v>15250.0</v>
      </c>
      <c r="D72" s="168" t="b">
        <v>0</v>
      </c>
      <c r="E72" s="135"/>
      <c r="F72" s="135"/>
      <c r="G72" s="169"/>
      <c r="H72" s="135"/>
      <c r="I72" s="135"/>
      <c r="J72" s="135"/>
    </row>
  </sheetData>
  <drawing r:id="rId1"/>
  <tableParts count="1">
    <tablePart r:id="rId3"/>
  </tableParts>
</worksheet>
</file>