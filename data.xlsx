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4.xml"/>
  <Override ContentType="application/vnd.openxmlformats-officedocument.spreadsheetml.table+xml" PartName="/xl/tables/table3.xml"/>
  <Override ContentType="application/vnd.openxmlformats-officedocument.spreadsheetml.table+xml" PartName="/xl/tables/table1.xml"/>
  <Override ContentType="application/vnd.openxmlformats-officedocument.spreadsheetml.table+xml" PartName="/xl/tables/table2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Loans" sheetId="1" r:id="rId5"/>
    <sheet state="visible" name="Monthly View" sheetId="2" r:id="rId6"/>
    <sheet state="visible" name="June 2026 Expenses" sheetId="3" r:id="rId7"/>
    <sheet state="visible" name="Gold Loan" sheetId="4" r:id="rId8"/>
    <sheet state="visible" name="Tips to Close Faster" sheetId="5" r:id="rId9"/>
    <sheet state="visible" name="General" sheetId="6" r:id="rId10"/>
    <sheet state="visible" name="July 2026 Expense " sheetId="7" r:id="rId11"/>
    <sheet state="visible" name="August 2026" sheetId="8" r:id="rId12"/>
  </sheets>
  <definedNames/>
  <calcPr/>
</workbook>
</file>

<file path=xl/sharedStrings.xml><?xml version="1.0" encoding="utf-8"?>
<sst xmlns="http://schemas.openxmlformats.org/spreadsheetml/2006/main" count="503" uniqueCount="382">
  <si>
    <t>Family Loan Master Sheet</t>
  </si>
  <si>
    <t>Income Source</t>
  </si>
  <si>
    <t>Amount (₹)</t>
  </si>
  <si>
    <t>Monthly Life Expenses</t>
  </si>
  <si>
    <t>Gold Loan Tracker</t>
  </si>
  <si>
    <t>Naresh</t>
  </si>
  <si>
    <t>Month</t>
  </si>
  <si>
    <t>Gram</t>
  </si>
  <si>
    <t>Category</t>
  </si>
  <si>
    <t>Amount</t>
  </si>
  <si>
    <t>Interest in Bank</t>
  </si>
  <si>
    <t>Notes</t>
  </si>
  <si>
    <t>Bank Name</t>
  </si>
  <si>
    <t>Account Holder</t>
  </si>
  <si>
    <t>Veera</t>
  </si>
  <si>
    <t>Loan Amount</t>
  </si>
  <si>
    <t>Date of Kept</t>
  </si>
  <si>
    <t>Interest to Pay</t>
  </si>
  <si>
    <t>TO Amma</t>
  </si>
  <si>
    <t>Total Income</t>
  </si>
  <si>
    <t>CUB</t>
  </si>
  <si>
    <t>Mani Mozhi</t>
  </si>
  <si>
    <t>Siva Priya Loan</t>
  </si>
  <si>
    <t>APPA</t>
  </si>
  <si>
    <t>Month-by-Month Payment View — May 2026 to Dec 2030</t>
  </si>
  <si>
    <t>AMMA</t>
  </si>
  <si>
    <t>Loan Name</t>
  </si>
  <si>
    <t>Monthly EMI (₹)</t>
  </si>
  <si>
    <t>End Date</t>
  </si>
  <si>
    <t>EMIs Left
(approx)</t>
  </si>
  <si>
    <t>Remaining
Amount (₹)</t>
  </si>
  <si>
    <t>SMFG Personal
(Naresh)</t>
  </si>
  <si>
    <t>Green cell = loan closes this month  |  Amber row = multiple closures  |  Blue row = car window (Jun 2027)  |  Red free cash = deficit</t>
  </si>
  <si>
    <t>₹26,494</t>
  </si>
  <si>
    <t>Personal</t>
  </si>
  <si>
    <t>Krishnamoorthy</t>
  </si>
  <si>
    <t>Apr 2031</t>
  </si>
  <si>
    <t>HOME EXPENSE</t>
  </si>
  <si>
    <t>20% rate – highest cost loan</t>
  </si>
  <si>
    <t xml:space="preserve">GRINDER &amp; FAN </t>
  </si>
  <si>
    <t>EMI FROM JULY 1740</t>
  </si>
  <si>
    <t>SBI Personal
(SivaPriya)</t>
  </si>
  <si>
    <t>SivaPriya</t>
  </si>
  <si>
    <t>Jan 2028</t>
  </si>
  <si>
    <t>Thandal</t>
  </si>
  <si>
    <t>21 EMIs left</t>
  </si>
  <si>
    <t>From Raghuls 6250                           2 June</t>
  </si>
  <si>
    <t>Equitas Home
(Appa)</t>
  </si>
  <si>
    <t>D Mart</t>
  </si>
  <si>
    <t>Naresh gave 11,000.                     6/2/2026</t>
  </si>
  <si>
    <t>Income</t>
  </si>
  <si>
    <t>Home Loan</t>
  </si>
  <si>
    <t xml:space="preserve">snacks </t>
  </si>
  <si>
    <t>Dec 2030</t>
  </si>
  <si>
    <t>Total EMI</t>
  </si>
  <si>
    <t>Veera kattu potathu</t>
  </si>
  <si>
    <t>Expenses</t>
  </si>
  <si>
    <t>NareshKumar</t>
  </si>
  <si>
    <t>No prepayment penalty!</t>
  </si>
  <si>
    <t>Free Cash</t>
  </si>
  <si>
    <t xml:space="preserve">TVS </t>
  </si>
  <si>
    <t>Credit Card</t>
  </si>
  <si>
    <t>(4K from Raghuls&amp; 1k Naresh).  6/4/2026</t>
  </si>
  <si>
    <t xml:space="preserve">Home expense </t>
  </si>
  <si>
    <t xml:space="preserve">From Gold Loan.                                 5 June </t>
  </si>
  <si>
    <t>Oct 2026</t>
  </si>
  <si>
    <t>Events</t>
  </si>
  <si>
    <t>Veera Scooty EMI</t>
  </si>
  <si>
    <t>Urgent – 36-48% interest!</t>
  </si>
  <si>
    <t xml:space="preserve">எண்ணெய் செட்டியார் </t>
  </si>
  <si>
    <t>TVS Excel
(Appa)</t>
  </si>
  <si>
    <t xml:space="preserve">Plumper </t>
  </si>
  <si>
    <t>Vehicle</t>
  </si>
  <si>
    <t>Jul 2027</t>
  </si>
  <si>
    <t xml:space="preserve">Sivapriya Tablet </t>
  </si>
  <si>
    <t xml:space="preserve">From Gold Loan.                                 6 June </t>
  </si>
  <si>
    <t xml:space="preserve">Veera Hospital Expenses </t>
  </si>
  <si>
    <t>15 EMIs left</t>
  </si>
  <si>
    <t>DIO Loan</t>
  </si>
  <si>
    <t>Equitas Home loan</t>
  </si>
  <si>
    <t>Samasta 1</t>
  </si>
  <si>
    <t>Appa Amma Dress</t>
  </si>
  <si>
    <t>Samasta 2</t>
  </si>
  <si>
    <t>Microfinance</t>
  </si>
  <si>
    <t>Samasta 3</t>
  </si>
  <si>
    <t xml:space="preserve">Groceries </t>
  </si>
  <si>
    <t>Mar 2027</t>
  </si>
  <si>
    <t xml:space="preserve">From Gold Loan.                                 7 June </t>
  </si>
  <si>
    <t>Samasta 4</t>
  </si>
  <si>
    <t>Muthu Chithapa</t>
  </si>
  <si>
    <t>ESAF 1</t>
  </si>
  <si>
    <t>3rd Thu every month</t>
  </si>
  <si>
    <t>ESAF 2</t>
  </si>
  <si>
    <t xml:space="preserve">Scooty service </t>
  </si>
  <si>
    <t xml:space="preserve">From Gold Loan.                                 8 June </t>
  </si>
  <si>
    <t>Jul 2026</t>
  </si>
  <si>
    <t>ESAF 3</t>
  </si>
  <si>
    <t>Veera Dress</t>
  </si>
  <si>
    <t>Ends Jul 2026 – almost done!</t>
  </si>
  <si>
    <t>ESAF</t>
  </si>
  <si>
    <t>Aasirvad 1</t>
  </si>
  <si>
    <t xml:space="preserve">10,000 from Naresh </t>
  </si>
  <si>
    <t>Net Recharge</t>
  </si>
  <si>
    <t>Aasirvad 1 2</t>
  </si>
  <si>
    <t>Mar 2028</t>
  </si>
  <si>
    <t>Appa</t>
  </si>
  <si>
    <t>Other Loan</t>
  </si>
  <si>
    <t>AMMA - Microloan</t>
  </si>
  <si>
    <t>EMI</t>
  </si>
  <si>
    <t>Cylinder</t>
  </si>
  <si>
    <t>Apr 2028</t>
  </si>
  <si>
    <t>Other loan</t>
  </si>
  <si>
    <t>Jun 2026</t>
  </si>
  <si>
    <t>Movie</t>
  </si>
  <si>
    <t>Mat</t>
  </si>
  <si>
    <t>2nd Wed every month</t>
  </si>
  <si>
    <t>Gold coin -2 grams</t>
  </si>
  <si>
    <t xml:space="preserve">credit card.                                        25 June </t>
  </si>
  <si>
    <t>Oct 2027</t>
  </si>
  <si>
    <t>Feb 2027</t>
  </si>
  <si>
    <t>Jun 2028</t>
  </si>
  <si>
    <t>Aasirvad EMIs</t>
  </si>
  <si>
    <t>Aasirvad 2</t>
  </si>
  <si>
    <t>Dec 2028</t>
  </si>
  <si>
    <t>Misc family loan</t>
  </si>
  <si>
    <t>Bajai EMI</t>
  </si>
  <si>
    <t>DeC 2026</t>
  </si>
  <si>
    <t>Grinder &amp; Fan</t>
  </si>
  <si>
    <t>TOTAL EMI / MONTH</t>
  </si>
  <si>
    <t>FREE CASH AFTER EMIs</t>
  </si>
  <si>
    <t>COLOR LEGEND</t>
  </si>
  <si>
    <t>Credit Card — URGENT (36-48% interest)</t>
  </si>
  <si>
    <t>Personal Loans</t>
  </si>
  <si>
    <t>Home Loan (no prepayment penalty)</t>
  </si>
  <si>
    <t>Vehicle Loans</t>
  </si>
  <si>
    <t>Microfinance / Small Loans</t>
  </si>
  <si>
    <t>Samasta 2 closes ✓</t>
  </si>
  <si>
    <t>Aug 2026</t>
  </si>
  <si>
    <t>Tips to Close All Loans Faster</t>
  </si>
  <si>
    <t>Follow these steps in order — highest impact first</t>
  </si>
  <si>
    <t>1</t>
  </si>
  <si>
    <t>URGENT — Fix Credit Card NOW</t>
  </si>
  <si>
    <t>Call your bank immediately. The credit card ₹18,972/month charges 36–48% interest — the most expensive debt you have. Ask to convert to a personal loan at 12–15% or settle the ₹97,110 balance in one shot. Every month you wait costs ₹3,000–4,000 extra in interest alone.</t>
  </si>
  <si>
    <t>2</t>
  </si>
  <si>
    <t>Stop taking any new loans</t>
  </si>
  <si>
    <t>Your EMIs (₹1,15,135) already exceed your combined income (₹1,10,000). Even one new EMI will push you into serious default risk. No new microfinance, personal, or vehicle loan until at least 2027.</t>
  </si>
  <si>
    <t>3</t>
  </si>
  <si>
    <t>Jul 2026 — Samasta 2 closes (₹2,650 freed)</t>
  </si>
  <si>
    <t>When Samasta 2 ends in July 2026, DO NOT spend that ₹2,650. Immediately redirect it to pay extra on the Credit Card principal. This discipline of 'redirecting freed EMIs' is the most powerful debt-clearing tool you have.</t>
  </si>
  <si>
    <t>4</t>
  </si>
  <si>
    <t>Oct 2026 — ESAF 2 closes (₹3,235 freed)</t>
  </si>
  <si>
    <t>Add this ₹3,235 to your Credit Card or SMFG extra payment. By Oct 2026 you'll have ₹5,885/month extra cash if you stay disciplined.</t>
  </si>
  <si>
    <t>5</t>
  </si>
  <si>
    <t>Nov–Dec 2026 — TVS + DIO close (₹10,725 freed)</t>
  </si>
  <si>
    <t>Both vehicle loans end around the same time, freeing ₹10,725/month. Combined with previous savings, you'll have ~₹16,610 extra per month. Use ALL of this toward SMFG prepayment. Call SMFG and ask about part-payment options (note: SMFG only allows FULL foreclosure, not partial — so build a fund for that).</t>
  </si>
  <si>
    <t>6</t>
  </si>
  <si>
    <t>Jan 2027 — ESAF 1 closes (₹5,390 freed)</t>
  </si>
  <si>
    <t>Another ₹5,390/month freed. Now you have ~₹22,000 extra monthly. Start a dedicated 'Loan Closure Fund' savings account. Target ₹8–10L in this account for SMFG foreclosure.</t>
  </si>
  <si>
    <t>7</t>
  </si>
  <si>
    <t>Mar 2027 — SBI + Samasta 1 close (₹15,000 freed!)</t>
  </si>
  <si>
    <t>This is your biggest milestone. SBI Personal Loan (₹11,839) and Samasta 1 (₹3,150) both close around March 2027, freeing ~₹15,000/month. Your total monthly savings now hit ₹37,000+. This is when you should buy your car (₹12–15L, EMI ₹18–22K stays comfortable).</t>
  </si>
  <si>
    <t>8</t>
  </si>
  <si>
    <t>Jun 2027 — Car Purchase Window</t>
  </si>
  <si>
    <t>By June 2027 your free cash is ₹30,000+/month. Target a ₹12–15L car (Tata Nexon / Hyundai Venue / Maruti Brezza base). Save ₹2–3L as down payment from Apr–Jun 2027 freed cash. EMI of ~₹20–24K will be comfortable. Avoid the ₹23L car until 2028.</t>
  </si>
  <si>
    <t>9</t>
  </si>
  <si>
    <t>Equitas Home Loan — prepay aggressively (ZERO penalty)</t>
  </si>
  <si>
    <t>Equitas home loan has NO prepayment penalty on floating rate. Every extra rupee you pay reduces principal directly and saves interest. From 2027 onwards, put ₹10,000–15,000/month extra toward this loan. You can close it 2–3 years early and save ₹2–3L in interest. Call Equitas: 1800-103-2977 to request a revised amortization schedule.</t>
  </si>
  <si>
    <t>10</t>
  </si>
  <si>
    <t>SMFG Loan — wait for 36 EMIs then foreclose</t>
  </si>
  <si>
    <t>SMFG charges 7% foreclosure fee before 18 EMIs, 5% before 24, 3% before 36, and ZERO from 36 EMIs onwards (around Jun 2029). Build your foreclosure fund now. By Jun 2029 the outstanding will be ~₹7–8L. Close it in one shot with zero penalty and save years of 20% interest.</t>
  </si>
  <si>
    <t>11</t>
  </si>
  <si>
    <t>The Redirect Rule — most important habit</t>
  </si>
  <si>
    <t>Every time a loan closes, NEVER increase spending. Redirect 100% of that freed EMI to the next target loan. This snowball approach means each closure speeds up the next one. Example: Jul 2026 Samasta closes → add ₹2,650 to CC. Oct 2026 ESAF closes → add ₹3,235 more. By Mar 2027 you have ₹37K+ extra monthly without earning more.</t>
  </si>
  <si>
    <t>12</t>
  </si>
  <si>
    <t>Emergency Fund — build ₹50,000 buffer</t>
  </si>
  <si>
    <t>Sep 2026</t>
  </si>
  <si>
    <t>With this many loans, one missed payment can trigger a penalty chain. Keep ₹30,000–50,000 in a savings account untouched as a safety net. Use Equitas Bank savings account (no minimum balance for basic accounts). This prevents you from needing emergency loans which would restart the cycle.</t>
  </si>
  <si>
    <t>13</t>
  </si>
  <si>
    <t>Microfinance discipline — never miss a due date</t>
  </si>
  <si>
    <t>Samasta loans: 3rd Thursday of every month. ESAF loans: 2nd Wednesday of every month. Missing even one microfinance EMI triggers collection visits (₹250/visit penalty) and damages your CIBIL score, making future loans costlier. Set phone reminders.</t>
  </si>
  <si>
    <t>14</t>
  </si>
  <si>
    <t>2028 onwards — freedom is close</t>
  </si>
  <si>
    <t>By April 2028 all microfinance loans will be closed. Only SMFG (₹26,494) + Equitas Home (₹15,250) remain = ₹41,744/month total. On ₹1,10,000 income that leaves ₹68,000/month for life, savings, and your car EMI. Focus all surplus on SMFG foreclosure fund targeting Jun 2029.</t>
  </si>
  <si>
    <t>15</t>
  </si>
  <si>
    <t>Key contacts to call NOW</t>
  </si>
  <si>
    <t>Credit Card: Call your card bank and ask for balance-to-loan conversion. SMFG: 1800-103-6001 — ask for foreclosure statement when ready. Equitas Home Loan: 1800-103-2977 — ask for part-payment process. SBI: Visit nearest branch with loan account number for prepayment.</t>
  </si>
  <si>
    <t>MILESTONE CALENDAR</t>
  </si>
  <si>
    <t>Event</t>
  </si>
  <si>
    <t>Action / Impact</t>
  </si>
  <si>
    <t>Samasta 2 ends</t>
  </si>
  <si>
    <t>₹2,650/mo freed → redirect to Credit Card</t>
  </si>
  <si>
    <t>ESAF 2 ends</t>
  </si>
  <si>
    <t>₹3,235/mo freed → total ₹5,885 extra</t>
  </si>
  <si>
    <t>Nov 2026</t>
  </si>
  <si>
    <t>TVS + DIO end</t>
  </si>
  <si>
    <t>₹10,725/mo freed → total ₹16,610 extra</t>
  </si>
  <si>
    <t>Jan 2027</t>
  </si>
  <si>
    <t>ESAF 1 ends</t>
  </si>
  <si>
    <t>₹5,390/mo freed → total ₹22,000 extra</t>
  </si>
  <si>
    <t>SBI + Samasta 1 end</t>
  </si>
  <si>
    <t>₹15,000/mo freed → total ₹37,000 extra!</t>
  </si>
  <si>
    <t>Jun 2027</t>
  </si>
  <si>
    <t>Car purchase window</t>
  </si>
  <si>
    <t>Buy ₹12–15L car — EMI fits comfortably</t>
  </si>
  <si>
    <t>ESAF 3 ends</t>
  </si>
  <si>
    <t>More microfinance cleared</t>
  </si>
  <si>
    <t>ESAF 2 + Samasta 1 cleared</t>
  </si>
  <si>
    <t>Almost all micro loans done</t>
  </si>
  <si>
    <t>Date</t>
  </si>
  <si>
    <t>Expense</t>
  </si>
  <si>
    <t>SBI fully closed</t>
  </si>
  <si>
    <t>Major milestone — only SMFG + Home remain</t>
  </si>
  <si>
    <t>All microfinance cleared</t>
  </si>
  <si>
    <t>₹57K/mo free — only 2 loans left</t>
  </si>
  <si>
    <t>Amma</t>
  </si>
  <si>
    <t>Jun 2029</t>
  </si>
  <si>
    <t>SMFG 0% foreclosure zone</t>
  </si>
  <si>
    <t>Close SMFG loan with ZERO penalty!</t>
  </si>
  <si>
    <t xml:space="preserve">Credit card </t>
  </si>
  <si>
    <t>Equitas Home Loan ends</t>
  </si>
  <si>
    <t xml:space="preserve">veera Licence </t>
  </si>
  <si>
    <t>Debt FREE! (or close earlier with prepayment)</t>
  </si>
  <si>
    <t xml:space="preserve">Bank gold interest </t>
  </si>
  <si>
    <t xml:space="preserve">Mahesh </t>
  </si>
  <si>
    <t xml:space="preserve">Petrol </t>
  </si>
  <si>
    <t>Snacks</t>
  </si>
  <si>
    <t>Thiliban</t>
  </si>
  <si>
    <t>Gold stud</t>
  </si>
  <si>
    <t>Old gold(2grams)</t>
  </si>
  <si>
    <t>Auto</t>
  </si>
  <si>
    <t xml:space="preserve">Total amount </t>
  </si>
  <si>
    <t xml:space="preserve">Amma Tablet </t>
  </si>
  <si>
    <t>Loan name</t>
  </si>
  <si>
    <t>Name</t>
  </si>
  <si>
    <t>Last date</t>
  </si>
  <si>
    <t>Samasta</t>
  </si>
  <si>
    <t>3rd Thurs of every month</t>
  </si>
  <si>
    <t>Kalyani</t>
  </si>
  <si>
    <t>Sangeetha</t>
  </si>
  <si>
    <t xml:space="preserve">Priya </t>
  </si>
  <si>
    <t>Thavamani</t>
  </si>
  <si>
    <t xml:space="preserve">2nd Wednesday </t>
  </si>
  <si>
    <t>Manimozhi</t>
  </si>
  <si>
    <t>Credit Card closes ✓</t>
  </si>
  <si>
    <t>Sivapriya</t>
  </si>
  <si>
    <t>Pazhaniyammal</t>
  </si>
  <si>
    <t>14 due</t>
  </si>
  <si>
    <t>Aasirvad</t>
  </si>
  <si>
    <t>Arivazhagi loan</t>
  </si>
  <si>
    <t xml:space="preserve">20th of every month </t>
  </si>
  <si>
    <t>c</t>
  </si>
  <si>
    <t>Debt &amp; EMI Tracker</t>
  </si>
  <si>
    <t>Principal Amount</t>
  </si>
  <si>
    <t>Interest Rate (%)</t>
  </si>
  <si>
    <t>Total EMIs</t>
  </si>
  <si>
    <t>EMIs Paid</t>
  </si>
  <si>
    <t>Remaining EMIs</t>
  </si>
  <si>
    <t>Total Paid</t>
  </si>
  <si>
    <t>Remaining Balance</t>
  </si>
  <si>
    <t>Total Interest</t>
  </si>
  <si>
    <t>SMFG Personal Loan - Naresh</t>
  </si>
  <si>
    <t xml:space="preserve">Category Expense </t>
  </si>
  <si>
    <t>SBI Personal Loan - SivaPriya</t>
  </si>
  <si>
    <t xml:space="preserve">Amount </t>
  </si>
  <si>
    <t>Sivapriya Loan</t>
  </si>
  <si>
    <t>20,000 from Naresh</t>
  </si>
  <si>
    <t xml:space="preserve">Excel EMI </t>
  </si>
  <si>
    <t>Balance-4k Appa</t>
  </si>
  <si>
    <t>Chicken noodles</t>
  </si>
  <si>
    <t>From Gold Loan 23,700</t>
  </si>
  <si>
    <t>Pattu புடவை+covering chain(700+2000)</t>
  </si>
  <si>
    <t xml:space="preserve">Amma in hand </t>
  </si>
  <si>
    <t>Balance 5000 in Amma account</t>
  </si>
  <si>
    <t>13-07-2026</t>
  </si>
  <si>
    <t>Equitas Home Loan</t>
  </si>
  <si>
    <t xml:space="preserve">50,000 from Naresh </t>
  </si>
  <si>
    <t>Equitas Home Loan - (APPA)Krishnamoorthy</t>
  </si>
  <si>
    <t>14-07-2026</t>
  </si>
  <si>
    <t xml:space="preserve">வார தண்டல் </t>
  </si>
  <si>
    <t>16-07-2026</t>
  </si>
  <si>
    <t>samasta</t>
  </si>
  <si>
    <t>17-07-2026</t>
  </si>
  <si>
    <t xml:space="preserve">அஞ்சு </t>
  </si>
  <si>
    <t>19-07-2026</t>
  </si>
  <si>
    <t>Dress-Hari&amp;அப்பா(1590+2100)</t>
  </si>
  <si>
    <t>Sivapriya Dress(2789+2300)</t>
  </si>
  <si>
    <t>20-07-2026</t>
  </si>
  <si>
    <t>Arivazhagi Loan</t>
  </si>
  <si>
    <t>தட்டு for manja thanni</t>
  </si>
  <si>
    <t>Amma eye hospital</t>
  </si>
  <si>
    <t>Auto+Poo+snacks(400+80+210)</t>
  </si>
  <si>
    <t>22-07-2026</t>
  </si>
  <si>
    <t>நரேஷ்(50,000+10,000)</t>
  </si>
  <si>
    <t>24-07-2026</t>
  </si>
  <si>
    <t>25-07-2026</t>
  </si>
  <si>
    <t>Fruits+Auto(2600+400)</t>
  </si>
  <si>
    <t>26-07-2026</t>
  </si>
  <si>
    <t>Manja thanni varisai</t>
  </si>
  <si>
    <t>Van</t>
  </si>
  <si>
    <t>27-07-2026</t>
  </si>
  <si>
    <t xml:space="preserve">Aashirvad </t>
  </si>
  <si>
    <t>28-07-2026</t>
  </si>
  <si>
    <t>TVS Excel - (APPA)Krishnamoorthy</t>
  </si>
  <si>
    <t>Balance 4k</t>
  </si>
  <si>
    <t xml:space="preserve">DIO </t>
  </si>
  <si>
    <t>Dec 2026</t>
  </si>
  <si>
    <t>Inverter</t>
  </si>
  <si>
    <t>Type of expenditure</t>
  </si>
  <si>
    <t>Paid/unpaid</t>
  </si>
  <si>
    <t>Balance as of the last EMI</t>
  </si>
  <si>
    <t>Incomes and Borrowings</t>
  </si>
  <si>
    <t>Summary</t>
  </si>
  <si>
    <t/>
  </si>
  <si>
    <t>2,02,625.00</t>
  </si>
  <si>
    <t>Naresh salary</t>
  </si>
  <si>
    <t>Total Expenses</t>
  </si>
  <si>
    <t>DATE</t>
  </si>
  <si>
    <t>CREDIT Amount</t>
  </si>
  <si>
    <t xml:space="preserve">Expense </t>
  </si>
  <si>
    <t>Inverter EMI</t>
  </si>
  <si>
    <t>Note</t>
  </si>
  <si>
    <t>EMI over</t>
  </si>
  <si>
    <t>TVS EXCEL EMI</t>
  </si>
  <si>
    <t>Total Unpaid</t>
  </si>
  <si>
    <t>DIO EMI(Scotty)</t>
  </si>
  <si>
    <t>Total Incomes</t>
  </si>
  <si>
    <t>Credit card</t>
  </si>
  <si>
    <t>Net Balance</t>
  </si>
  <si>
    <t>Naresh Personal Loan</t>
  </si>
  <si>
    <t>4,47,707</t>
  </si>
  <si>
    <t>Home EB</t>
  </si>
  <si>
    <t>Muthu Interest</t>
  </si>
  <si>
    <t>Muthu interest</t>
  </si>
  <si>
    <t>Anjuchithi interest</t>
  </si>
  <si>
    <t>Equites Home loan</t>
  </si>
  <si>
    <t>ESAF 3 closes ✓</t>
  </si>
  <si>
    <t>Samasta 1 closes ✓</t>
  </si>
  <si>
    <t>Apr 2027</t>
  </si>
  <si>
    <t>May 2027</t>
  </si>
  <si>
    <t>Car purchase window opens!</t>
  </si>
  <si>
    <t>TVS Excel closes ✓  |  DIO Loan closes ✓</t>
  </si>
  <si>
    <t>Aug 2027</t>
  </si>
  <si>
    <t>Sep 2027</t>
  </si>
  <si>
    <t>ESAF 2 closes ✓</t>
  </si>
  <si>
    <t>Nov 2027</t>
  </si>
  <si>
    <t>Dec 2027</t>
  </si>
  <si>
    <t>SBI Personal closes ✓  |  ESAF 1 closes ✓</t>
  </si>
  <si>
    <t>Feb 2028</t>
  </si>
  <si>
    <t>Samasta 3 closes ✓</t>
  </si>
  <si>
    <t>Samasta 4 closes ✓</t>
  </si>
  <si>
    <t>May 2028</t>
  </si>
  <si>
    <t>Aasirvad (x2) closes ✓</t>
  </si>
  <si>
    <t>Jul 2028</t>
  </si>
  <si>
    <t>Aug 2028</t>
  </si>
  <si>
    <t>Sep 2028</t>
  </si>
  <si>
    <t>Oct 2028</t>
  </si>
  <si>
    <t>Nov 2028</t>
  </si>
  <si>
    <t>Other Loan closes ✓</t>
  </si>
  <si>
    <t>Jan 2029</t>
  </si>
  <si>
    <t>Feb 2029</t>
  </si>
  <si>
    <t>Mar 2029</t>
  </si>
  <si>
    <t>Apr 2029</t>
  </si>
  <si>
    <t>May 2029</t>
  </si>
  <si>
    <t>SMFG 0% foreclosure from here</t>
  </si>
  <si>
    <t>Jul 2029</t>
  </si>
  <si>
    <t>Aug 2029</t>
  </si>
  <si>
    <t>Sep 2029</t>
  </si>
  <si>
    <t>Oct 2029</t>
  </si>
  <si>
    <t>Nov 2029</t>
  </si>
  <si>
    <t>Dec 2029</t>
  </si>
  <si>
    <t>Jan 2030</t>
  </si>
  <si>
    <t>Feb 2030</t>
  </si>
  <si>
    <t>Mar 2030</t>
  </si>
  <si>
    <t>Apr 2030</t>
  </si>
  <si>
    <t>May 2030</t>
  </si>
  <si>
    <t>Jun 2030</t>
  </si>
  <si>
    <t>Jul 2030</t>
  </si>
  <si>
    <t>Aug 2030</t>
  </si>
  <si>
    <t>Sep 2030</t>
  </si>
  <si>
    <t>Oct 2030</t>
  </si>
  <si>
    <t>Nov 2030</t>
  </si>
  <si>
    <t>Equitas Home closes ✓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</si>
</sst>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1">
    <numFmt numFmtId="164" formatCode="&quot;₹&quot;#,##0.00"/>
    <numFmt numFmtId="165" formatCode="mmmm yyyy"/>
    <numFmt numFmtId="166" formatCode="₹#,##0.00"/>
    <numFmt numFmtId="167" formatCode="d mmmm"/>
    <numFmt numFmtId="168" formatCode="yyyy-mm-dd"/>
    <numFmt numFmtId="169" formatCode="&quot;₹&quot;#,##0;\(&quot;₹&quot;#,##0\);&quot;-&quot;"/>
    <numFmt numFmtId="170" formatCode="₹#,##0"/>
    <numFmt numFmtId="171" formatCode="dd/mm/yyyy"/>
    <numFmt numFmtId="172" formatCode="d mmm yyyy"/>
    <numFmt numFmtId="173" formatCode="d mmmm yyyy"/>
    <numFmt numFmtId="174" formatCode="mm-dd-yyyy"/>
  </numFmts>
  <fonts count="30">
    <font>
      <sz val="11.0"/>
      <color theme="1"/>
      <name val="Calibri"/>
      <scheme val="minor"/>
    </font>
    <font>
      <b/>
      <sz val="14.0"/>
      <color rgb="FFFFFFFF"/>
      <name val="Arial"/>
    </font>
    <font/>
    <font>
      <b/>
      <color rgb="FFFFFFFF"/>
      <name val="Calibri"/>
      <scheme val="minor"/>
    </font>
    <font>
      <b/>
      <sz val="14.0"/>
      <color theme="1"/>
      <name val="Montserrat"/>
    </font>
    <font>
      <b/>
      <sz val="24.0"/>
      <color rgb="FF77580B"/>
      <name val="Montserrat"/>
    </font>
    <font>
      <color theme="1"/>
      <name val="Calibri"/>
      <scheme val="minor"/>
    </font>
    <font>
      <b/>
      <color rgb="FFFFFFFF"/>
      <name val="Roboto"/>
    </font>
    <font>
      <b/>
      <sz val="10.0"/>
      <color rgb="FFFFFFFF"/>
      <name val="Roboto"/>
    </font>
    <font>
      <sz val="10.0"/>
      <color rgb="FF1E1A12"/>
      <name val="Roboto"/>
    </font>
    <font>
      <b/>
      <sz val="13.0"/>
      <color rgb="FFFFFFFF"/>
      <name val="Arial"/>
    </font>
    <font>
      <sz val="11.0"/>
      <color theme="1"/>
      <name val="Calibri"/>
    </font>
    <font>
      <b/>
      <sz val="9.0"/>
      <color rgb="FFFFFFFF"/>
      <name val="Arial"/>
    </font>
    <font>
      <b/>
      <sz val="9.0"/>
      <color rgb="FF000000"/>
      <name val="Arial"/>
    </font>
    <font>
      <sz val="9.0"/>
      <color rgb="FF000000"/>
      <name val="Arial"/>
    </font>
    <font>
      <b/>
      <sz val="9.0"/>
      <color theme="1"/>
      <name val="Arial"/>
    </font>
    <font>
      <sz val="9.0"/>
      <color rgb="FFC00000"/>
      <name val="Arial"/>
    </font>
    <font>
      <b/>
      <sz val="8.0"/>
      <color theme="1"/>
      <name val="Arial"/>
    </font>
    <font>
      <b/>
      <sz val="9.0"/>
      <color rgb="FFC00000"/>
      <name val="Arial"/>
    </font>
    <font>
      <b/>
      <sz val="10.0"/>
      <color rgb="FFFFFFFF"/>
      <name val="Arial"/>
    </font>
    <font>
      <b/>
      <sz val="10.0"/>
      <color rgb="FFC00000"/>
      <name val="Arial"/>
    </font>
    <font>
      <b/>
      <sz val="9.0"/>
      <color rgb="FF375623"/>
      <name val="Arial"/>
    </font>
    <font>
      <sz val="9.0"/>
      <color rgb="FFFFFFFF"/>
      <name val="Arial"/>
    </font>
    <font>
      <b/>
      <sz val="10.0"/>
      <color rgb="FF000000"/>
      <name val="Arial"/>
    </font>
    <font>
      <sz val="9.0"/>
      <color rgb="FF999999"/>
      <name val="Arial"/>
    </font>
    <font>
      <color theme="1"/>
      <name val="Arial"/>
    </font>
    <font>
      <b/>
      <sz val="24.0"/>
      <color theme="1"/>
      <name val="Montserrat"/>
    </font>
    <font>
      <b/>
      <color rgb="FFFFFFFF"/>
      <name val="Montserrat"/>
    </font>
    <font>
      <color theme="1"/>
      <name val="Roboto"/>
    </font>
    <font>
      <b/>
      <color theme="1"/>
      <name val="Arial"/>
    </font>
  </fonts>
  <fills count="21">
    <fill>
      <patternFill patternType="none"/>
    </fill>
    <fill>
      <patternFill patternType="lightGray"/>
    </fill>
    <fill>
      <patternFill patternType="solid">
        <fgColor rgb="FF1F3864"/>
        <bgColor rgb="FF1F3864"/>
      </patternFill>
    </fill>
    <fill>
      <patternFill patternType="solid">
        <fgColor rgb="FF19337F"/>
        <bgColor rgb="FF19337F"/>
      </patternFill>
    </fill>
    <fill>
      <patternFill patternType="solid">
        <fgColor rgb="FF445E91"/>
        <bgColor rgb="FF445E91"/>
      </patternFill>
    </fill>
    <fill>
      <patternFill patternType="solid">
        <fgColor rgb="FF77580B"/>
        <bgColor rgb="FF77580B"/>
      </patternFill>
    </fill>
    <fill>
      <patternFill patternType="solid">
        <fgColor rgb="FFECECF4"/>
        <bgColor rgb="FFECECF4"/>
      </patternFill>
    </fill>
    <fill>
      <patternFill patternType="solid">
        <fgColor rgb="FFFCE4D6"/>
        <bgColor rgb="FFFCE4D6"/>
      </patternFill>
    </fill>
    <fill>
      <patternFill patternType="solid">
        <fgColor rgb="FF2E75B6"/>
        <bgColor rgb="FF2E75B6"/>
      </patternFill>
    </fill>
    <fill>
      <patternFill patternType="solid">
        <fgColor rgb="FFDDEBF7"/>
        <bgColor rgb="FFDDEBF7"/>
      </patternFill>
    </fill>
    <fill>
      <patternFill patternType="solid">
        <fgColor rgb="FFEDE7F6"/>
        <bgColor rgb="FFEDE7F6"/>
      </patternFill>
    </fill>
    <fill>
      <patternFill patternType="solid">
        <fgColor rgb="FFE2EFDA"/>
        <bgColor rgb="FFE2EFDA"/>
      </patternFill>
    </fill>
    <fill>
      <patternFill patternType="solid">
        <fgColor rgb="FFF2F2F2"/>
        <bgColor rgb="FFF2F2F2"/>
      </patternFill>
    </fill>
    <fill>
      <patternFill patternType="solid">
        <fgColor rgb="FFC6EFCE"/>
        <bgColor rgb="FFC6EFCE"/>
      </patternFill>
    </fill>
    <fill>
      <patternFill patternType="solid">
        <fgColor rgb="FFFFFFFF"/>
        <bgColor rgb="FFFFFFFF"/>
      </patternFill>
    </fill>
    <fill>
      <patternFill patternType="solid">
        <fgColor rgb="FFD6DCE4"/>
        <bgColor rgb="FFD6DCE4"/>
      </patternFill>
    </fill>
    <fill>
      <patternFill patternType="solid">
        <fgColor rgb="FFFFF2CC"/>
        <bgColor rgb="FFFFF2CC"/>
      </patternFill>
    </fill>
    <fill>
      <patternFill patternType="solid">
        <fgColor rgb="FFE1F5EE"/>
        <bgColor rgb="FFE1F5EE"/>
      </patternFill>
    </fill>
    <fill>
      <patternFill patternType="solid">
        <fgColor rgb="FF3E5F90"/>
        <bgColor rgb="FF3E5F90"/>
      </patternFill>
    </fill>
    <fill>
      <patternFill patternType="solid">
        <fgColor rgb="FFF8F8FF"/>
        <bgColor rgb="FFF8F8FF"/>
      </patternFill>
    </fill>
    <fill>
      <patternFill patternType="solid">
        <fgColor rgb="FFFF0000"/>
        <bgColor rgb="FFFF0000"/>
      </patternFill>
    </fill>
  </fills>
  <borders count="10">
    <border/>
    <border>
      <left style="medium">
        <color rgb="FF999999"/>
      </left>
      <top style="medium">
        <color rgb="FF999999"/>
      </top>
    </border>
    <border>
      <top style="medium">
        <color rgb="FF999999"/>
      </top>
    </border>
    <border>
      <right style="medium">
        <color rgb="FF999999"/>
      </right>
      <top style="medium">
        <color rgb="FF999999"/>
      </top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medium">
        <color rgb="FF999999"/>
      </left>
      <top style="medium">
        <color rgb="FF999999"/>
      </top>
      <bottom style="medium">
        <color rgb="FF999999"/>
      </bottom>
    </border>
    <border>
      <top style="medium">
        <color rgb="FF999999"/>
      </top>
      <bottom style="medium">
        <color rgb="FF999999"/>
      </bottom>
    </border>
    <border>
      <left style="medium">
        <color rgb="FF999999"/>
      </left>
      <right style="medium">
        <color rgb="FF999999"/>
      </right>
      <top style="medium">
        <color rgb="FF999999"/>
      </top>
      <bottom style="medium">
        <color rgb="FF999999"/>
      </bottom>
    </border>
    <border>
      <right style="medium">
        <color rgb="FF999999"/>
      </right>
      <top style="medium">
        <color rgb="FF999999"/>
      </top>
      <bottom style="medium">
        <color rgb="FF999999"/>
      </bottom>
    </border>
    <border>
      <right/>
      <top style="medium">
        <color rgb="FF999999"/>
      </top>
      <bottom style="medium">
        <color rgb="FF999999"/>
      </bottom>
    </border>
  </borders>
  <cellStyleXfs count="1">
    <xf borderId="0" fillId="0" fontId="0" numFmtId="0" applyAlignment="1" applyFont="1"/>
  </cellStyleXfs>
  <cellXfs count="193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vertical="center"/>
    </xf>
    <xf borderId="2" fillId="0" fontId="2" numFmtId="0" xfId="0" applyBorder="1" applyFont="1"/>
    <xf borderId="3" fillId="0" fontId="2" numFmtId="0" xfId="0" applyBorder="1" applyFont="1"/>
    <xf borderId="4" fillId="3" fontId="3" numFmtId="0" xfId="0" applyBorder="1" applyFill="1" applyFont="1"/>
    <xf borderId="0" fillId="0" fontId="4" numFmtId="0" xfId="0" applyAlignment="1" applyFont="1">
      <alignment vertical="center"/>
    </xf>
    <xf borderId="0" fillId="0" fontId="5" numFmtId="0" xfId="0" applyAlignment="1" applyFont="1">
      <alignment readingOrder="0"/>
    </xf>
    <xf borderId="4" fillId="0" fontId="6" numFmtId="0" xfId="0" applyBorder="1" applyFont="1"/>
    <xf borderId="0" fillId="4" fontId="7" numFmtId="0" xfId="0" applyAlignment="1" applyFill="1" applyFont="1">
      <alignment horizontal="center" vertical="center"/>
    </xf>
    <xf borderId="0" fillId="0" fontId="8" numFmtId="0" xfId="0" applyAlignment="1" applyFont="1">
      <alignment readingOrder="0"/>
    </xf>
    <xf borderId="4" fillId="0" fontId="6" numFmtId="164" xfId="0" applyBorder="1" applyFont="1" applyNumberFormat="1"/>
    <xf borderId="4" fillId="0" fontId="6" numFmtId="0" xfId="0" applyAlignment="1" applyBorder="1" applyFont="1">
      <alignment readingOrder="0"/>
    </xf>
    <xf borderId="0" fillId="0" fontId="6" numFmtId="165" xfId="0" applyAlignment="1" applyFont="1" applyNumberFormat="1">
      <alignment readingOrder="0"/>
    </xf>
    <xf borderId="0" fillId="5" fontId="8" numFmtId="0" xfId="0" applyFill="1" applyFont="1"/>
    <xf borderId="4" fillId="0" fontId="6" numFmtId="164" xfId="0" applyAlignment="1" applyBorder="1" applyFont="1" applyNumberFormat="1">
      <alignment readingOrder="0"/>
    </xf>
    <xf borderId="0" fillId="0" fontId="6" numFmtId="0" xfId="0" applyAlignment="1" applyFont="1">
      <alignment readingOrder="0"/>
    </xf>
    <xf borderId="0" fillId="0" fontId="9" numFmtId="0" xfId="0" applyAlignment="1" applyFont="1">
      <alignment readingOrder="0"/>
    </xf>
    <xf borderId="0" fillId="0" fontId="6" numFmtId="0" xfId="0" applyAlignment="1" applyFont="1">
      <alignment readingOrder="0"/>
    </xf>
    <xf borderId="0" fillId="0" fontId="6" numFmtId="166" xfId="0" applyAlignment="1" applyFont="1" applyNumberFormat="1">
      <alignment readingOrder="0"/>
    </xf>
    <xf borderId="0" fillId="0" fontId="9" numFmtId="10" xfId="0" applyAlignment="1" applyFont="1" applyNumberFormat="1">
      <alignment readingOrder="0"/>
    </xf>
    <xf borderId="0" fillId="0" fontId="6" numFmtId="167" xfId="0" applyAlignment="1" applyFont="1" applyNumberFormat="1">
      <alignment readingOrder="0"/>
    </xf>
    <xf borderId="0" fillId="0" fontId="9" numFmtId="164" xfId="0" applyAlignment="1" applyFont="1" applyNumberFormat="1">
      <alignment readingOrder="0"/>
    </xf>
    <xf borderId="0" fillId="0" fontId="9" numFmtId="168" xfId="0" applyAlignment="1" applyFont="1" applyNumberFormat="1">
      <alignment readingOrder="0"/>
    </xf>
    <xf borderId="5" fillId="2" fontId="10" numFmtId="0" xfId="0" applyAlignment="1" applyBorder="1" applyFont="1">
      <alignment horizontal="center" vertical="center"/>
    </xf>
    <xf borderId="0" fillId="0" fontId="6" numFmtId="164" xfId="0" applyFont="1" applyNumberFormat="1"/>
    <xf borderId="6" fillId="0" fontId="2" numFmtId="0" xfId="0" applyBorder="1" applyFont="1"/>
    <xf borderId="0" fillId="6" fontId="11" numFmtId="0" xfId="0" applyAlignment="1" applyFill="1" applyFont="1">
      <alignment vertical="bottom"/>
    </xf>
    <xf borderId="7" fillId="2" fontId="12" numFmtId="0" xfId="0" applyAlignment="1" applyBorder="1" applyFont="1">
      <alignment horizontal="center" shrinkToFit="0" vertical="center" wrapText="1"/>
    </xf>
    <xf borderId="0" fillId="6" fontId="11" numFmtId="166" xfId="0" applyAlignment="1" applyFont="1" applyNumberFormat="1">
      <alignment horizontal="right" readingOrder="0" vertical="bottom"/>
    </xf>
    <xf borderId="0" fillId="6" fontId="11" numFmtId="167" xfId="0" applyAlignment="1" applyFont="1" applyNumberFormat="1">
      <alignment horizontal="right" vertical="bottom"/>
    </xf>
    <xf borderId="0" fillId="0" fontId="11" numFmtId="0" xfId="0" applyAlignment="1" applyFont="1">
      <alignment vertical="bottom"/>
    </xf>
    <xf borderId="8" fillId="0" fontId="2" numFmtId="0" xfId="0" applyBorder="1" applyFont="1"/>
    <xf borderId="7" fillId="7" fontId="13" numFmtId="49" xfId="0" applyAlignment="1" applyBorder="1" applyFill="1" applyFont="1" applyNumberFormat="1">
      <alignment horizontal="left" shrinkToFit="0" vertical="center" wrapText="1"/>
    </xf>
    <xf borderId="7" fillId="7" fontId="14" numFmtId="169" xfId="0" applyAlignment="1" applyBorder="1" applyFont="1" applyNumberFormat="1">
      <alignment horizontal="right" readingOrder="0" vertical="center"/>
    </xf>
    <xf borderId="5" fillId="8" fontId="12" numFmtId="0" xfId="0" applyAlignment="1" applyBorder="1" applyFill="1" applyFont="1">
      <alignment horizontal="center" vertical="center"/>
    </xf>
    <xf borderId="7" fillId="7" fontId="14" numFmtId="49" xfId="0" applyAlignment="1" applyBorder="1" applyFont="1" applyNumberFormat="1">
      <alignment horizontal="center" vertical="center"/>
    </xf>
    <xf borderId="7" fillId="7" fontId="14" numFmtId="3" xfId="0" applyAlignment="1" applyBorder="1" applyFont="1" applyNumberFormat="1">
      <alignment horizontal="center" vertical="center"/>
    </xf>
    <xf borderId="7" fillId="7" fontId="14" numFmtId="169" xfId="0" applyAlignment="1" applyBorder="1" applyFont="1" applyNumberFormat="1">
      <alignment horizontal="right" vertical="center"/>
    </xf>
    <xf borderId="7" fillId="7" fontId="14" numFmtId="49" xfId="0" applyAlignment="1" applyBorder="1" applyFont="1" applyNumberFormat="1">
      <alignment horizontal="left" vertical="center"/>
    </xf>
    <xf borderId="0" fillId="0" fontId="6" numFmtId="0" xfId="0" applyFont="1"/>
    <xf borderId="0" fillId="0" fontId="9" numFmtId="10" xfId="0" applyFont="1" applyNumberFormat="1"/>
    <xf borderId="7" fillId="9" fontId="13" numFmtId="49" xfId="0" applyAlignment="1" applyBorder="1" applyFill="1" applyFont="1" applyNumberFormat="1">
      <alignment horizontal="left" shrinkToFit="0" vertical="center" wrapText="1"/>
    </xf>
    <xf borderId="0" fillId="0" fontId="15" numFmtId="0" xfId="0" applyAlignment="1" applyFont="1">
      <alignment horizontal="center" readingOrder="0" shrinkToFit="0" vertical="center" wrapText="1"/>
    </xf>
    <xf borderId="7" fillId="9" fontId="14" numFmtId="169" xfId="0" applyAlignment="1" applyBorder="1" applyFont="1" applyNumberFormat="1">
      <alignment horizontal="right" vertical="center"/>
    </xf>
    <xf borderId="7" fillId="9" fontId="14" numFmtId="49" xfId="0" applyAlignment="1" applyBorder="1" applyFont="1" applyNumberFormat="1">
      <alignment horizontal="center" vertical="center"/>
    </xf>
    <xf borderId="0" fillId="0" fontId="9" numFmtId="0" xfId="0" applyFont="1"/>
    <xf borderId="7" fillId="9" fontId="14" numFmtId="3" xfId="0" applyAlignment="1" applyBorder="1" applyFont="1" applyNumberFormat="1">
      <alignment horizontal="center" vertical="center"/>
    </xf>
    <xf borderId="7" fillId="9" fontId="14" numFmtId="49" xfId="0" applyAlignment="1" applyBorder="1" applyFont="1" applyNumberFormat="1">
      <alignment horizontal="left" vertical="center"/>
    </xf>
    <xf borderId="7" fillId="7" fontId="16" numFmtId="169" xfId="0" applyAlignment="1" applyBorder="1" applyFont="1" applyNumberFormat="1">
      <alignment horizontal="right" vertical="center"/>
    </xf>
    <xf borderId="0" fillId="0" fontId="9" numFmtId="164" xfId="0" applyFont="1" applyNumberFormat="1"/>
    <xf borderId="0" fillId="0" fontId="9" numFmtId="168" xfId="0" applyFont="1" applyNumberFormat="1"/>
    <xf borderId="7" fillId="10" fontId="13" numFmtId="49" xfId="0" applyAlignment="1" applyBorder="1" applyFill="1" applyFont="1" applyNumberFormat="1">
      <alignment horizontal="left" shrinkToFit="0" vertical="center" wrapText="1"/>
    </xf>
    <xf borderId="0" fillId="0" fontId="17" numFmtId="0" xfId="0" applyAlignment="1" applyFont="1">
      <alignment horizontal="center" readingOrder="0" shrinkToFit="0" vertical="center" wrapText="1"/>
    </xf>
    <xf borderId="7" fillId="10" fontId="14" numFmtId="169" xfId="0" applyAlignment="1" applyBorder="1" applyFont="1" applyNumberFormat="1">
      <alignment horizontal="right" vertical="center"/>
    </xf>
    <xf borderId="7" fillId="10" fontId="14" numFmtId="49" xfId="0" applyAlignment="1" applyBorder="1" applyFont="1" applyNumberFormat="1">
      <alignment horizontal="center" vertical="center"/>
    </xf>
    <xf borderId="7" fillId="10" fontId="14" numFmtId="3" xfId="0" applyAlignment="1" applyBorder="1" applyFont="1" applyNumberFormat="1">
      <alignment horizontal="center" vertical="center"/>
    </xf>
    <xf borderId="7" fillId="10" fontId="14" numFmtId="49" xfId="0" applyAlignment="1" applyBorder="1" applyFont="1" applyNumberFormat="1">
      <alignment horizontal="left" vertical="center"/>
    </xf>
    <xf borderId="7" fillId="11" fontId="13" numFmtId="49" xfId="0" applyAlignment="1" applyBorder="1" applyFill="1" applyFont="1" applyNumberFormat="1">
      <alignment horizontal="left" vertical="center"/>
    </xf>
    <xf borderId="7" fillId="11" fontId="14" numFmtId="169" xfId="0" applyAlignment="1" applyBorder="1" applyFont="1" applyNumberFormat="1">
      <alignment horizontal="right" vertical="center"/>
    </xf>
    <xf borderId="7" fillId="11" fontId="14" numFmtId="49" xfId="0" applyAlignment="1" applyBorder="1" applyFont="1" applyNumberFormat="1">
      <alignment horizontal="center" vertical="center"/>
    </xf>
    <xf borderId="7" fillId="11" fontId="14" numFmtId="3" xfId="0" applyAlignment="1" applyBorder="1" applyFont="1" applyNumberFormat="1">
      <alignment horizontal="center" vertical="center"/>
    </xf>
    <xf borderId="7" fillId="11" fontId="14" numFmtId="49" xfId="0" applyAlignment="1" applyBorder="1" applyFont="1" applyNumberFormat="1">
      <alignment horizontal="left" vertical="center"/>
    </xf>
    <xf borderId="0" fillId="0" fontId="17" numFmtId="0" xfId="0" applyAlignment="1" applyFont="1">
      <alignment horizontal="center" readingOrder="0" shrinkToFit="0" vertical="center" wrapText="1"/>
    </xf>
    <xf borderId="7" fillId="12" fontId="13" numFmtId="49" xfId="0" applyAlignment="1" applyBorder="1" applyFill="1" applyFont="1" applyNumberFormat="1">
      <alignment shrinkToFit="0" vertical="center" wrapText="0"/>
    </xf>
    <xf borderId="0" fillId="0" fontId="6" numFmtId="166" xfId="0" applyFont="1" applyNumberFormat="1"/>
    <xf borderId="7" fillId="11" fontId="13" numFmtId="49" xfId="0" applyAlignment="1" applyBorder="1" applyFont="1" applyNumberFormat="1">
      <alignment horizontal="left" readingOrder="0" vertical="center"/>
    </xf>
    <xf borderId="7" fillId="11" fontId="13" numFmtId="170" xfId="0" applyAlignment="1" applyBorder="1" applyFont="1" applyNumberFormat="1">
      <alignment readingOrder="0" shrinkToFit="0" vertical="center" wrapText="0"/>
    </xf>
    <xf borderId="7" fillId="11" fontId="14" numFmtId="169" xfId="0" applyAlignment="1" applyBorder="1" applyFont="1" applyNumberFormat="1">
      <alignment horizontal="right" readingOrder="0" vertical="center"/>
    </xf>
    <xf borderId="7" fillId="11" fontId="14" numFmtId="49" xfId="0" applyAlignment="1" applyBorder="1" applyFont="1" applyNumberFormat="1">
      <alignment horizontal="left" readingOrder="0" vertical="center"/>
    </xf>
    <xf borderId="7" fillId="12" fontId="18" numFmtId="170" xfId="0" applyAlignment="1" applyBorder="1" applyFont="1" applyNumberFormat="1">
      <alignment shrinkToFit="0" vertical="center" wrapText="0"/>
    </xf>
    <xf borderId="7" fillId="11" fontId="14" numFmtId="49" xfId="0" applyAlignment="1" applyBorder="1" applyFont="1" applyNumberFormat="1">
      <alignment horizontal="center" readingOrder="0" vertical="center"/>
    </xf>
    <xf borderId="7" fillId="11" fontId="14" numFmtId="3" xfId="0" applyAlignment="1" applyBorder="1" applyFont="1" applyNumberFormat="1">
      <alignment horizontal="center" readingOrder="0" vertical="center"/>
    </xf>
    <xf borderId="7" fillId="2" fontId="19" numFmtId="0" xfId="0" applyAlignment="1" applyBorder="1" applyFont="1">
      <alignment horizontal="left" vertical="center"/>
    </xf>
    <xf borderId="7" fillId="7" fontId="18" numFmtId="170" xfId="0" applyAlignment="1" applyBorder="1" applyFont="1" applyNumberFormat="1">
      <alignment shrinkToFit="0" vertical="center" wrapText="0"/>
    </xf>
    <xf borderId="7" fillId="7" fontId="20" numFmtId="169" xfId="0" applyAlignment="1" applyBorder="1" applyFont="1" applyNumberFormat="1">
      <alignment horizontal="right" vertical="center"/>
    </xf>
    <xf borderId="7" fillId="12" fontId="14" numFmtId="49" xfId="0" applyAlignment="1" applyBorder="1" applyFont="1" applyNumberFormat="1">
      <alignment shrinkToFit="0" vertical="center" wrapText="0"/>
    </xf>
    <xf borderId="7" fillId="2" fontId="14" numFmtId="0" xfId="0" applyAlignment="1" applyBorder="1" applyFont="1">
      <alignment horizontal="center" vertical="center"/>
    </xf>
    <xf borderId="7" fillId="11" fontId="14" numFmtId="169" xfId="0" applyAlignment="1" applyBorder="1" applyFont="1" applyNumberFormat="1">
      <alignment readingOrder="0" shrinkToFit="0" vertical="center" wrapText="0"/>
    </xf>
    <xf borderId="7" fillId="12" fontId="14" numFmtId="169" xfId="0" applyAlignment="1" applyBorder="1" applyFont="1" applyNumberFormat="1">
      <alignment shrinkToFit="0" vertical="center" wrapText="0"/>
    </xf>
    <xf borderId="7" fillId="12" fontId="14" numFmtId="169" xfId="0" applyAlignment="1" applyBorder="1" applyFont="1" applyNumberFormat="1">
      <alignment horizontal="center" shrinkToFit="0" vertical="center" wrapText="0"/>
    </xf>
    <xf borderId="7" fillId="12" fontId="14" numFmtId="169" xfId="0" applyAlignment="1" applyBorder="1" applyFont="1" applyNumberFormat="1">
      <alignment readingOrder="0" shrinkToFit="0" vertical="center" wrapText="0"/>
    </xf>
    <xf borderId="5" fillId="7" fontId="14" numFmtId="0" xfId="0" applyAlignment="1" applyBorder="1" applyFont="1">
      <alignment horizontal="left" vertical="center"/>
    </xf>
    <xf borderId="9" fillId="0" fontId="2" numFmtId="0" xfId="0" applyBorder="1" applyFont="1"/>
    <xf borderId="5" fillId="9" fontId="14" numFmtId="0" xfId="0" applyAlignment="1" applyBorder="1" applyFont="1">
      <alignment horizontal="left" vertical="center"/>
    </xf>
    <xf borderId="5" fillId="10" fontId="14" numFmtId="0" xfId="0" applyAlignment="1" applyBorder="1" applyFont="1">
      <alignment horizontal="left" vertical="center"/>
    </xf>
    <xf borderId="5" fillId="11" fontId="14" numFmtId="0" xfId="0" applyAlignment="1" applyBorder="1" applyFont="1">
      <alignment horizontal="left" vertical="center"/>
    </xf>
    <xf borderId="7" fillId="11" fontId="13" numFmtId="49" xfId="0" applyAlignment="1" applyBorder="1" applyFont="1" applyNumberFormat="1">
      <alignment shrinkToFit="0" vertical="center" wrapText="0"/>
    </xf>
    <xf borderId="7" fillId="11" fontId="18" numFmtId="170" xfId="0" applyAlignment="1" applyBorder="1" applyFont="1" applyNumberFormat="1">
      <alignment shrinkToFit="0" vertical="center" wrapText="0"/>
    </xf>
    <xf borderId="7" fillId="11" fontId="21" numFmtId="49" xfId="0" applyAlignment="1" applyBorder="1" applyFont="1" applyNumberFormat="1">
      <alignment shrinkToFit="0" vertical="center" wrapText="0"/>
    </xf>
    <xf borderId="7" fillId="11" fontId="14" numFmtId="169" xfId="0" applyAlignment="1" applyBorder="1" applyFont="1" applyNumberFormat="1">
      <alignment shrinkToFit="0" vertical="center" wrapText="0"/>
    </xf>
    <xf borderId="7" fillId="11" fontId="14" numFmtId="169" xfId="0" applyAlignment="1" applyBorder="1" applyFont="1" applyNumberFormat="1">
      <alignment horizontal="center" shrinkToFit="0" vertical="center" wrapText="0"/>
    </xf>
    <xf borderId="7" fillId="13" fontId="21" numFmtId="169" xfId="0" applyAlignment="1" applyBorder="1" applyFill="1" applyFont="1" applyNumberFormat="1">
      <alignment horizontal="center" shrinkToFit="0" vertical="center" wrapText="0"/>
    </xf>
    <xf borderId="7" fillId="12" fontId="13" numFmtId="170" xfId="0" applyAlignment="1" applyBorder="1" applyFont="1" applyNumberFormat="1">
      <alignment readingOrder="0" shrinkToFit="0" vertical="center" wrapText="0"/>
    </xf>
    <xf borderId="5" fillId="2" fontId="1" numFmtId="0" xfId="0" applyAlignment="1" applyBorder="1" applyFont="1">
      <alignment horizontal="center" vertical="center"/>
    </xf>
    <xf borderId="5" fillId="8" fontId="22" numFmtId="0" xfId="0" applyAlignment="1" applyBorder="1" applyFont="1">
      <alignment horizontal="center" vertical="center"/>
    </xf>
    <xf borderId="7" fillId="7" fontId="23" numFmtId="0" xfId="0" applyAlignment="1" applyBorder="1" applyFont="1">
      <alignment horizontal="center" vertical="center"/>
    </xf>
    <xf borderId="7" fillId="7" fontId="13" numFmtId="0" xfId="0" applyAlignment="1" applyBorder="1" applyFont="1">
      <alignment horizontal="left" vertical="center"/>
    </xf>
    <xf borderId="7" fillId="14" fontId="14" numFmtId="0" xfId="0" applyAlignment="1" applyBorder="1" applyFill="1" applyFont="1">
      <alignment horizontal="left" shrinkToFit="0" vertical="center" wrapText="1"/>
    </xf>
    <xf borderId="7" fillId="15" fontId="24" numFmtId="169" xfId="0" applyAlignment="1" applyBorder="1" applyFill="1" applyFont="1" applyNumberFormat="1">
      <alignment horizontal="center" shrinkToFit="0" vertical="center" wrapText="0"/>
    </xf>
    <xf borderId="7" fillId="16" fontId="23" numFmtId="0" xfId="0" applyAlignment="1" applyBorder="1" applyFill="1" applyFont="1">
      <alignment horizontal="center" vertical="center"/>
    </xf>
    <xf borderId="7" fillId="16" fontId="13" numFmtId="0" xfId="0" applyAlignment="1" applyBorder="1" applyFont="1">
      <alignment horizontal="left" vertical="center"/>
    </xf>
    <xf borderId="7" fillId="11" fontId="23" numFmtId="0" xfId="0" applyAlignment="1" applyBorder="1" applyFont="1">
      <alignment horizontal="center" vertical="center"/>
    </xf>
    <xf borderId="7" fillId="11" fontId="13" numFmtId="0" xfId="0" applyAlignment="1" applyBorder="1" applyFont="1">
      <alignment horizontal="left" vertical="center"/>
    </xf>
    <xf borderId="7" fillId="9" fontId="23" numFmtId="0" xfId="0" applyAlignment="1" applyBorder="1" applyFont="1">
      <alignment horizontal="center" vertical="center"/>
    </xf>
    <xf borderId="7" fillId="9" fontId="13" numFmtId="0" xfId="0" applyAlignment="1" applyBorder="1" applyFont="1">
      <alignment horizontal="left" vertical="center"/>
    </xf>
    <xf borderId="7" fillId="10" fontId="23" numFmtId="0" xfId="0" applyAlignment="1" applyBorder="1" applyFont="1">
      <alignment horizontal="center" vertical="center"/>
    </xf>
    <xf borderId="7" fillId="10" fontId="13" numFmtId="0" xfId="0" applyAlignment="1" applyBorder="1" applyFont="1">
      <alignment horizontal="left" vertical="center"/>
    </xf>
    <xf borderId="7" fillId="17" fontId="23" numFmtId="0" xfId="0" applyAlignment="1" applyBorder="1" applyFill="1" applyFont="1">
      <alignment horizontal="center" vertical="center"/>
    </xf>
    <xf borderId="7" fillId="17" fontId="13" numFmtId="0" xfId="0" applyAlignment="1" applyBorder="1" applyFont="1">
      <alignment horizontal="left" vertical="center"/>
    </xf>
    <xf borderId="7" fillId="14" fontId="13" numFmtId="49" xfId="0" applyAlignment="1" applyBorder="1" applyFont="1" applyNumberFormat="1">
      <alignment shrinkToFit="0" vertical="center" wrapText="0"/>
    </xf>
    <xf borderId="7" fillId="14" fontId="13" numFmtId="170" xfId="0" applyAlignment="1" applyBorder="1" applyFont="1" applyNumberFormat="1">
      <alignment readingOrder="0" shrinkToFit="0" vertical="center" wrapText="0"/>
    </xf>
    <xf borderId="5" fillId="2" fontId="19" numFmtId="0" xfId="0" applyAlignment="1" applyBorder="1" applyFont="1">
      <alignment horizontal="center" vertical="center"/>
    </xf>
    <xf borderId="7" fillId="14" fontId="18" numFmtId="170" xfId="0" applyAlignment="1" applyBorder="1" applyFont="1" applyNumberFormat="1">
      <alignment shrinkToFit="0" vertical="center" wrapText="0"/>
    </xf>
    <xf borderId="7" fillId="8" fontId="12" numFmtId="0" xfId="0" applyAlignment="1" applyBorder="1" applyFont="1">
      <alignment horizontal="center" vertical="center"/>
    </xf>
    <xf borderId="7" fillId="11" fontId="13" numFmtId="0" xfId="0" applyAlignment="1" applyBorder="1" applyFont="1">
      <alignment horizontal="center" vertical="center"/>
    </xf>
    <xf borderId="7" fillId="11" fontId="14" numFmtId="0" xfId="0" applyAlignment="1" applyBorder="1" applyFont="1">
      <alignment horizontal="left" vertical="center"/>
    </xf>
    <xf borderId="7" fillId="14" fontId="14" numFmtId="0" xfId="0" applyAlignment="1" applyBorder="1" applyFont="1">
      <alignment horizontal="left" vertical="center"/>
    </xf>
    <xf borderId="7" fillId="16" fontId="13" numFmtId="0" xfId="0" applyAlignment="1" applyBorder="1" applyFont="1">
      <alignment horizontal="center" vertical="center"/>
    </xf>
    <xf borderId="7" fillId="16" fontId="14" numFmtId="0" xfId="0" applyAlignment="1" applyBorder="1" applyFont="1">
      <alignment horizontal="left" vertical="center"/>
    </xf>
    <xf borderId="7" fillId="14" fontId="14" numFmtId="49" xfId="0" applyAlignment="1" applyBorder="1" applyFont="1" applyNumberFormat="1">
      <alignment shrinkToFit="0" vertical="center" wrapText="0"/>
    </xf>
    <xf borderId="7" fillId="14" fontId="14" numFmtId="169" xfId="0" applyAlignment="1" applyBorder="1" applyFont="1" applyNumberFormat="1">
      <alignment shrinkToFit="0" vertical="center" wrapText="0"/>
    </xf>
    <xf borderId="7" fillId="17" fontId="13" numFmtId="0" xfId="0" applyAlignment="1" applyBorder="1" applyFont="1">
      <alignment horizontal="center" vertical="center"/>
    </xf>
    <xf borderId="7" fillId="17" fontId="14" numFmtId="0" xfId="0" applyAlignment="1" applyBorder="1" applyFont="1">
      <alignment horizontal="left" vertical="center"/>
    </xf>
    <xf borderId="7" fillId="14" fontId="14" numFmtId="169" xfId="0" applyAlignment="1" applyBorder="1" applyFont="1" applyNumberFormat="1">
      <alignment horizontal="center" shrinkToFit="0" vertical="center" wrapText="0"/>
    </xf>
    <xf borderId="7" fillId="9" fontId="13" numFmtId="0" xfId="0" applyAlignment="1" applyBorder="1" applyFont="1">
      <alignment horizontal="center" vertical="center"/>
    </xf>
    <xf borderId="7" fillId="9" fontId="14" numFmtId="0" xfId="0" applyAlignment="1" applyBorder="1" applyFont="1">
      <alignment horizontal="left" vertical="center"/>
    </xf>
    <xf borderId="0" fillId="0" fontId="25" numFmtId="0" xfId="0" applyAlignment="1" applyFont="1">
      <alignment vertical="bottom"/>
    </xf>
    <xf borderId="0" fillId="0" fontId="25" numFmtId="171" xfId="0" applyAlignment="1" applyFont="1" applyNumberFormat="1">
      <alignment horizontal="right" vertical="bottom"/>
    </xf>
    <xf borderId="0" fillId="0" fontId="25" numFmtId="3" xfId="0" applyAlignment="1" applyFont="1" applyNumberFormat="1">
      <alignment horizontal="right" vertical="bottom"/>
    </xf>
    <xf borderId="7" fillId="10" fontId="13" numFmtId="0" xfId="0" applyAlignment="1" applyBorder="1" applyFont="1">
      <alignment horizontal="center" vertical="center"/>
    </xf>
    <xf borderId="7" fillId="10" fontId="14" numFmtId="0" xfId="0" applyAlignment="1" applyBorder="1" applyFont="1">
      <alignment horizontal="left" vertical="center"/>
    </xf>
    <xf borderId="0" fillId="0" fontId="25" numFmtId="0" xfId="0" applyAlignment="1" applyFont="1">
      <alignment horizontal="right" vertical="bottom"/>
    </xf>
    <xf borderId="0" fillId="0" fontId="25" numFmtId="172" xfId="0" applyAlignment="1" applyFont="1" applyNumberFormat="1">
      <alignment horizontal="right" vertical="bottom"/>
    </xf>
    <xf borderId="0" fillId="0" fontId="25" numFmtId="173" xfId="0" applyAlignment="1" applyFont="1" applyNumberFormat="1">
      <alignment horizontal="right" vertical="bottom"/>
    </xf>
    <xf borderId="0" fillId="0" fontId="25" numFmtId="0" xfId="0" applyAlignment="1" applyFont="1">
      <alignment horizontal="right" readingOrder="0" vertical="bottom"/>
    </xf>
    <xf borderId="0" fillId="0" fontId="26" numFmtId="0" xfId="0" applyAlignment="1" applyFont="1">
      <alignment vertical="bottom"/>
    </xf>
    <xf borderId="0" fillId="18" fontId="27" numFmtId="0" xfId="0" applyAlignment="1" applyFill="1" applyFont="1">
      <alignment horizontal="center"/>
    </xf>
    <xf borderId="0" fillId="19" fontId="28" numFmtId="0" xfId="0" applyFill="1" applyFont="1"/>
    <xf borderId="0" fillId="19" fontId="28" numFmtId="166" xfId="0" applyAlignment="1" applyFont="1" applyNumberFormat="1">
      <alignment horizontal="right"/>
    </xf>
    <xf borderId="0" fillId="19" fontId="28" numFmtId="10" xfId="0" applyAlignment="1" applyFont="1" applyNumberFormat="1">
      <alignment horizontal="right"/>
    </xf>
    <xf borderId="0" fillId="19" fontId="28" numFmtId="0" xfId="0" applyAlignment="1" applyFont="1">
      <alignment horizontal="right"/>
    </xf>
    <xf borderId="7" fillId="14" fontId="14" numFmtId="170" xfId="0" applyAlignment="1" applyBorder="1" applyFont="1" applyNumberFormat="1">
      <alignment shrinkToFit="0" vertical="center" wrapText="0"/>
    </xf>
    <xf borderId="0" fillId="20" fontId="6" numFmtId="0" xfId="0" applyAlignment="1" applyFill="1" applyFont="1">
      <alignment horizontal="right" readingOrder="0"/>
    </xf>
    <xf borderId="0" fillId="19" fontId="28" numFmtId="164" xfId="0" applyAlignment="1" applyFont="1" applyNumberFormat="1">
      <alignment horizontal="right"/>
    </xf>
    <xf borderId="0" fillId="20" fontId="6" numFmtId="0" xfId="0" applyAlignment="1" applyFont="1">
      <alignment readingOrder="0"/>
    </xf>
    <xf borderId="0" fillId="14" fontId="28" numFmtId="0" xfId="0" applyFont="1"/>
    <xf borderId="0" fillId="14" fontId="28" numFmtId="166" xfId="0" applyAlignment="1" applyFont="1" applyNumberFormat="1">
      <alignment horizontal="right"/>
    </xf>
    <xf borderId="0" fillId="0" fontId="6" numFmtId="174" xfId="0" applyAlignment="1" applyFont="1" applyNumberFormat="1">
      <alignment horizontal="right" readingOrder="0"/>
    </xf>
    <xf borderId="0" fillId="14" fontId="28" numFmtId="10" xfId="0" applyAlignment="1" applyFont="1" applyNumberFormat="1">
      <alignment horizontal="right"/>
    </xf>
    <xf borderId="7" fillId="14" fontId="21" numFmtId="170" xfId="0" applyAlignment="1" applyBorder="1" applyFont="1" applyNumberFormat="1">
      <alignment shrinkToFit="0" vertical="center" wrapText="0"/>
    </xf>
    <xf borderId="0" fillId="0" fontId="6" numFmtId="3" xfId="0" applyAlignment="1" applyFont="1" applyNumberFormat="1">
      <alignment readingOrder="0"/>
    </xf>
    <xf borderId="0" fillId="0" fontId="6" numFmtId="174" xfId="0" applyAlignment="1" applyFont="1" applyNumberFormat="1">
      <alignment readingOrder="0"/>
    </xf>
    <xf borderId="0" fillId="14" fontId="28" numFmtId="0" xfId="0" applyAlignment="1" applyFont="1">
      <alignment horizontal="right"/>
    </xf>
    <xf borderId="0" fillId="0" fontId="6" numFmtId="0" xfId="0" applyAlignment="1" applyFont="1">
      <alignment horizontal="right" readingOrder="0"/>
    </xf>
    <xf borderId="0" fillId="14" fontId="28" numFmtId="164" xfId="0" applyAlignment="1" applyFont="1" applyNumberFormat="1">
      <alignment horizontal="right"/>
    </xf>
    <xf borderId="0" fillId="19" fontId="25" numFmtId="166" xfId="0" applyFont="1" applyNumberFormat="1"/>
    <xf borderId="0" fillId="19" fontId="25" numFmtId="10" xfId="0" applyFont="1" applyNumberFormat="1"/>
    <xf borderId="0" fillId="19" fontId="25" numFmtId="0" xfId="0" applyFont="1"/>
    <xf borderId="0" fillId="19" fontId="25" numFmtId="164" xfId="0" applyFont="1" applyNumberFormat="1"/>
    <xf borderId="0" fillId="14" fontId="25" numFmtId="10" xfId="0" applyFont="1" applyNumberFormat="1"/>
    <xf borderId="0" fillId="14" fontId="25" numFmtId="0" xfId="0" applyFont="1"/>
    <xf borderId="0" fillId="14" fontId="25" numFmtId="166" xfId="0" applyFont="1" applyNumberFormat="1"/>
    <xf borderId="0" fillId="14" fontId="25" numFmtId="164" xfId="0" applyFont="1" applyNumberFormat="1"/>
    <xf borderId="0" fillId="0" fontId="6" numFmtId="0" xfId="0" applyAlignment="1" applyFont="1">
      <alignment horizontal="right"/>
    </xf>
    <xf borderId="0" fillId="14" fontId="28" numFmtId="0" xfId="0" applyAlignment="1" applyFont="1">
      <alignment vertical="bottom"/>
    </xf>
    <xf borderId="0" fillId="14" fontId="28" numFmtId="166" xfId="0" applyAlignment="1" applyFont="1" applyNumberFormat="1">
      <alignment horizontal="right" vertical="bottom"/>
    </xf>
    <xf borderId="0" fillId="14" fontId="28" numFmtId="10" xfId="0" applyAlignment="1" applyFont="1" applyNumberFormat="1">
      <alignment horizontal="right" vertical="bottom"/>
    </xf>
    <xf borderId="0" fillId="14" fontId="28" numFmtId="0" xfId="0" applyAlignment="1" applyFont="1">
      <alignment horizontal="right" vertical="bottom"/>
    </xf>
    <xf borderId="0" fillId="14" fontId="28" numFmtId="164" xfId="0" applyAlignment="1" applyFont="1" applyNumberFormat="1">
      <alignment horizontal="right" vertical="bottom"/>
    </xf>
    <xf borderId="7" fillId="12" fontId="14" numFmtId="170" xfId="0" applyAlignment="1" applyBorder="1" applyFont="1" applyNumberFormat="1">
      <alignment shrinkToFit="0" vertical="center" wrapText="0"/>
    </xf>
    <xf borderId="0" fillId="0" fontId="29" numFmtId="0" xfId="0" applyAlignment="1" applyFont="1">
      <alignment vertical="bottom"/>
    </xf>
    <xf borderId="0" fillId="0" fontId="25" numFmtId="164" xfId="0" applyAlignment="1" applyFont="1" applyNumberFormat="1">
      <alignment horizontal="right" vertical="bottom"/>
    </xf>
    <xf borderId="0" fillId="0" fontId="25" numFmtId="0" xfId="0" applyAlignment="1" applyFont="1">
      <alignment horizontal="center"/>
    </xf>
    <xf borderId="7" fillId="12" fontId="21" numFmtId="170" xfId="0" applyAlignment="1" applyBorder="1" applyFont="1" applyNumberFormat="1">
      <alignment shrinkToFit="0" vertical="center" wrapText="0"/>
    </xf>
    <xf borderId="0" fillId="0" fontId="25" numFmtId="164" xfId="0" applyAlignment="1" applyFont="1" applyNumberFormat="1">
      <alignment vertical="bottom"/>
    </xf>
    <xf borderId="0" fillId="0" fontId="25" numFmtId="3" xfId="0" applyAlignment="1" applyFont="1" applyNumberFormat="1">
      <alignment vertical="bottom"/>
    </xf>
    <xf borderId="7" fillId="11" fontId="14" numFmtId="170" xfId="0" applyAlignment="1" applyBorder="1" applyFont="1" applyNumberFormat="1">
      <alignment shrinkToFit="0" vertical="center" wrapText="0"/>
    </xf>
    <xf borderId="7" fillId="11" fontId="21" numFmtId="170" xfId="0" applyAlignment="1" applyBorder="1" applyFont="1" applyNumberFormat="1">
      <alignment shrinkToFit="0" vertical="center" wrapText="0"/>
    </xf>
    <xf borderId="7" fillId="13" fontId="21" numFmtId="169" xfId="0" applyAlignment="1" applyBorder="1" applyFont="1" applyNumberFormat="1">
      <alignment shrinkToFit="0" vertical="center" wrapText="0"/>
    </xf>
    <xf borderId="7" fillId="15" fontId="24" numFmtId="169" xfId="0" applyAlignment="1" applyBorder="1" applyFont="1" applyNumberFormat="1">
      <alignment shrinkToFit="0" vertical="center" wrapText="0"/>
    </xf>
    <xf borderId="7" fillId="9" fontId="13" numFmtId="49" xfId="0" applyAlignment="1" applyBorder="1" applyFont="1" applyNumberFormat="1">
      <alignment shrinkToFit="0" vertical="center" wrapText="1"/>
    </xf>
    <xf borderId="7" fillId="9" fontId="13" numFmtId="170" xfId="0" applyAlignment="1" applyBorder="1" applyFont="1" applyNumberFormat="1">
      <alignment readingOrder="0" shrinkToFit="0" vertical="center" wrapText="1"/>
    </xf>
    <xf borderId="7" fillId="9" fontId="14" numFmtId="170" xfId="0" applyAlignment="1" applyBorder="1" applyFont="1" applyNumberFormat="1">
      <alignment shrinkToFit="0" vertical="center" wrapText="0"/>
    </xf>
    <xf borderId="7" fillId="9" fontId="21" numFmtId="170" xfId="0" applyAlignment="1" applyBorder="1" applyFont="1" applyNumberFormat="1">
      <alignment shrinkToFit="0" vertical="center" wrapText="0"/>
    </xf>
    <xf borderId="7" fillId="9" fontId="21" numFmtId="49" xfId="0" applyAlignment="1" applyBorder="1" applyFont="1" applyNumberFormat="1">
      <alignment shrinkToFit="0" vertical="center" wrapText="0"/>
    </xf>
    <xf borderId="7" fillId="9" fontId="14" numFmtId="169" xfId="0" applyAlignment="1" applyBorder="1" applyFont="1" applyNumberFormat="1">
      <alignment shrinkToFit="0" vertical="center" wrapText="0"/>
    </xf>
    <xf borderId="7" fillId="16" fontId="13" numFmtId="49" xfId="0" applyAlignment="1" applyBorder="1" applyFont="1" applyNumberFormat="1">
      <alignment shrinkToFit="0" vertical="center" wrapText="0"/>
    </xf>
    <xf borderId="7" fillId="16" fontId="13" numFmtId="170" xfId="0" applyAlignment="1" applyBorder="1" applyFont="1" applyNumberFormat="1">
      <alignment readingOrder="0" shrinkToFit="0" vertical="center" wrapText="0"/>
    </xf>
    <xf borderId="7" fillId="16" fontId="14" numFmtId="170" xfId="0" applyAlignment="1" applyBorder="1" applyFont="1" applyNumberFormat="1">
      <alignment shrinkToFit="0" vertical="center" wrapText="0"/>
    </xf>
    <xf borderId="7" fillId="16" fontId="21" numFmtId="170" xfId="0" applyAlignment="1" applyBorder="1" applyFont="1" applyNumberFormat="1">
      <alignment shrinkToFit="0" vertical="center" wrapText="0"/>
    </xf>
    <xf borderId="7" fillId="16" fontId="21" numFmtId="49" xfId="0" applyAlignment="1" applyBorder="1" applyFont="1" applyNumberFormat="1">
      <alignment shrinkToFit="0" vertical="center" wrapText="0"/>
    </xf>
    <xf borderId="7" fillId="16" fontId="14" numFmtId="169" xfId="0" applyAlignment="1" applyBorder="1" applyFont="1" applyNumberFormat="1">
      <alignment shrinkToFit="0" vertical="center" wrapText="0"/>
    </xf>
    <xf borderId="7" fillId="12" fontId="21" numFmtId="49" xfId="0" applyAlignment="1" applyBorder="1" applyFont="1" applyNumberFormat="1">
      <alignment shrinkToFit="0" vertical="center" wrapText="0"/>
    </xf>
  </cellXfs>
  <cellStyles count="1">
    <cellStyle xfId="0" name="Normal" builtinId="0"/>
  </cellStyles>
  <dxfs count="10">
    <dxf>
      <font/>
      <fill>
        <patternFill patternType="none"/>
      </fill>
      <border/>
    </dxf>
    <dxf>
      <font/>
      <fill>
        <patternFill patternType="solid">
          <fgColor rgb="FF77580B"/>
          <bgColor rgb="FF77580B"/>
        </patternFill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FF7F1"/>
          <bgColor rgb="FFFFF7F1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8F8FF"/>
          <bgColor rgb="FFF8F8FF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font/>
      <fill>
        <patternFill patternType="solid">
          <fgColor rgb="FFECECF4"/>
          <bgColor rgb="FFECECF4"/>
        </patternFill>
      </fill>
      <border/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ont/>
      <fill>
        <patternFill patternType="solid">
          <fgColor rgb="FF3E5F90"/>
          <bgColor rgb="FF3E5F90"/>
        </patternFill>
      </fill>
      <border/>
    </dxf>
  </dxfs>
  <tableStyles count="4">
    <tableStyle count="3" pivot="0" name="Gold Loan-style">
      <tableStyleElement dxfId="1" type="headerRow"/>
      <tableStyleElement dxfId="3" type="firstRowStripe"/>
      <tableStyleElement dxfId="4" type="secondRowStripe"/>
    </tableStyle>
    <tableStyle count="2" pivot="0" name="June 2026 Expenses-style">
      <tableStyleElement dxfId="5" type="firstRowStripe"/>
      <tableStyleElement dxfId="7" type="secondRowStripe"/>
    </tableStyle>
    <tableStyle count="4" pivot="0" name="Monthly View-style">
      <tableStyleElement dxfId="2" type="headerRow"/>
      <tableStyleElement dxfId="4" type="firstRowStripe"/>
      <tableStyleElement dxfId="6" type="secondRowStripe"/>
      <tableStyleElement dxfId="8" size="0" type="wholeTable"/>
    </tableStyle>
    <tableStyle count="3" pivot="0" name="General-style">
      <tableStyleElement dxfId="9" type="headerRow"/>
      <tableStyleElement dxfId="5" type="firstRowStripe"/>
      <tableStyleElement dxfId="4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2" Type="http://schemas.openxmlformats.org/officeDocument/2006/relationships/worksheet" Target="worksheets/sheet8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B4:X59" displayName="Table1" name="Table1" id="3">
  <tableColumns count="23">
    <tableColumn name="Month" id="1"/>
    <tableColumn name="Income" id="2"/>
    <tableColumn name="Total EMI" id="3"/>
    <tableColumn name="Expenses" id="4"/>
    <tableColumn name="Free Cash" id="5"/>
    <tableColumn name="Events" id="6"/>
    <tableColumn name="SMFG Personal_x000a_(Naresh)" id="7"/>
    <tableColumn name="SBI Personal_x000a_(SivaPriya)" id="8"/>
    <tableColumn name="Equitas Home_x000a_(Appa)" id="9"/>
    <tableColumn name="Credit Card" id="10"/>
    <tableColumn name="TVS Excel_x000a_(Appa)" id="11"/>
    <tableColumn name="DIO Loan" id="12"/>
    <tableColumn name="Samasta 1" id="13"/>
    <tableColumn name="Samasta 2" id="14"/>
    <tableColumn name="Samasta 3" id="15"/>
    <tableColumn name="Samasta 4" id="16"/>
    <tableColumn name="ESAF 1" id="17"/>
    <tableColumn name="ESAF 2" id="18"/>
    <tableColumn name="ESAF 3" id="19"/>
    <tableColumn name="Aasirvad 1" id="20"/>
    <tableColumn name="Aasirvad 1 2" id="21"/>
    <tableColumn name="Other Loan" id="22"/>
    <tableColumn name="EMI" id="23"/>
  </tableColumns>
  <tableStyleInfo name="Monthly View-style" showColumnStripes="0" showFirstColumn="1" showLastColumn="1" showRowStripes="1"/>
</table>
</file>

<file path=xl/tables/table2.xml><?xml version="1.0" encoding="utf-8"?>
<table xmlns="http://schemas.openxmlformats.org/spreadsheetml/2006/main" headerRowCount="0" ref="A4:D100" displayName="Table_2" name="Table_2" id="1">
  <tableColumns count="4">
    <tableColumn name="Column1" id="1"/>
    <tableColumn name="Column2" id="2"/>
    <tableColumn name="Column3" id="3"/>
    <tableColumn name="Column4" id="4"/>
  </tableColumns>
  <tableStyleInfo name="June 2026 Expenses-style" showColumnStripes="0" showFirstColumn="1" showLastColumn="1" showRowStripes="1"/>
</table>
</file>

<file path=xl/tables/table3.xml><?xml version="1.0" encoding="utf-8"?>
<table xmlns="http://schemas.openxmlformats.org/spreadsheetml/2006/main" ref="B4:G96" displayName="Table_1" name="Table_1" id="2">
  <tableColumns count="6">
    <tableColumn name="Gram" id="1"/>
    <tableColumn name="Interest in Bank" id="2"/>
    <tableColumn name="Bank Name" id="3"/>
    <tableColumn name="Account Holder" id="4"/>
    <tableColumn name="Loan Amount" id="5"/>
    <tableColumn name="Date of Kept" id="6"/>
  </tableColumns>
  <tableStyleInfo name="Gold Loan-style" showColumnStripes="0" showFirstColumn="1" showLastColumn="1" showRowStripes="1"/>
</table>
</file>

<file path=xl/tables/table4.xml><?xml version="1.0" encoding="utf-8"?>
<table xmlns="http://schemas.openxmlformats.org/spreadsheetml/2006/main" ref="A45:J52" displayName="Table_3" name="Table_3" id="4">
  <tableColumns count="10">
    <tableColumn name="Loan Name" id="1"/>
    <tableColumn name="Principal Amount" id="2"/>
    <tableColumn name="Interest Rate (%)" id="3"/>
    <tableColumn name="EMI" id="4"/>
    <tableColumn name="Total EMIs" id="5"/>
    <tableColumn name="EMIs Paid" id="6"/>
    <tableColumn name="Remaining EMIs" id="7"/>
    <tableColumn name="Total Paid" id="8"/>
    <tableColumn name="Remaining Balance" id="9"/>
    <tableColumn name="Total Interest" id="10"/>
  </tableColumns>
  <tableStyleInfo name="General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Relationship Id="rId3" Type="http://schemas.openxmlformats.org/officeDocument/2006/relationships/table" Target="../tables/table1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Relationship Id="rId3" Type="http://schemas.openxmlformats.org/officeDocument/2006/relationships/table" Target="../tables/table2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Relationship Id="rId3" Type="http://schemas.openxmlformats.org/officeDocument/2006/relationships/table" Target="../tables/table3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Relationship Id="rId3" Type="http://schemas.openxmlformats.org/officeDocument/2006/relationships/table" Target="../tables/table4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.0"/>
    <col customWidth="1" min="2" max="2" width="33.14"/>
    <col customWidth="1" min="3" max="3" width="28.14"/>
    <col customWidth="1" min="4" max="4" width="27.57"/>
    <col customWidth="1" min="5" max="5" width="14.0"/>
    <col customWidth="1" min="6" max="6" width="12.0"/>
    <col customWidth="1" min="7" max="7" width="18.0"/>
    <col customWidth="1" min="8" max="8" width="34.43"/>
    <col customWidth="1" min="9" max="26" width="8.71"/>
  </cols>
  <sheetData>
    <row r="1" ht="30.0" customHeight="1">
      <c r="B1" s="1" t="s">
        <v>0</v>
      </c>
      <c r="C1" s="2"/>
      <c r="D1" s="2"/>
      <c r="E1" s="2"/>
      <c r="F1" s="2"/>
      <c r="G1" s="2"/>
      <c r="H1" s="3"/>
    </row>
    <row r="2" ht="36.0" customHeight="1">
      <c r="B2" s="4" t="s">
        <v>1</v>
      </c>
      <c r="C2" s="4" t="s">
        <v>2</v>
      </c>
    </row>
    <row r="3">
      <c r="B3" s="7" t="s">
        <v>5</v>
      </c>
      <c r="C3" s="10">
        <v>70000.0</v>
      </c>
    </row>
    <row r="4">
      <c r="B4" s="11" t="s">
        <v>14</v>
      </c>
      <c r="C4" s="14">
        <v>40000.0</v>
      </c>
    </row>
    <row r="5" ht="51.75" customHeight="1">
      <c r="B5" s="17" t="s">
        <v>19</v>
      </c>
      <c r="C5" s="24">
        <f t="array" ref="C5">SUM(INDIRECT("C3:C"&amp;ROW()-1))</f>
        <v>110000</v>
      </c>
    </row>
    <row r="6" ht="43.5" customHeight="1"/>
    <row r="7" ht="21.75" customHeight="1">
      <c r="B7" s="27" t="s">
        <v>26</v>
      </c>
      <c r="C7" s="27" t="s">
        <v>27</v>
      </c>
      <c r="D7" s="27" t="s">
        <v>8</v>
      </c>
      <c r="E7" s="27" t="s">
        <v>28</v>
      </c>
      <c r="F7" s="27" t="s">
        <v>29</v>
      </c>
      <c r="G7" s="27" t="s">
        <v>30</v>
      </c>
      <c r="H7" s="27" t="s">
        <v>11</v>
      </c>
    </row>
    <row r="8" ht="21.75" customHeight="1">
      <c r="B8" s="32" t="s">
        <v>31</v>
      </c>
      <c r="C8" s="33" t="s">
        <v>33</v>
      </c>
      <c r="D8" s="35" t="s">
        <v>34</v>
      </c>
      <c r="E8" s="35" t="s">
        <v>36</v>
      </c>
      <c r="F8" s="36">
        <v>59.0</v>
      </c>
      <c r="G8" s="37">
        <v>1563146.0</v>
      </c>
      <c r="H8" s="38" t="s">
        <v>38</v>
      </c>
    </row>
    <row r="9" ht="21.75" customHeight="1">
      <c r="B9" s="32" t="s">
        <v>41</v>
      </c>
      <c r="C9" s="37">
        <v>11839.0</v>
      </c>
      <c r="D9" s="35" t="s">
        <v>34</v>
      </c>
      <c r="E9" s="35" t="s">
        <v>43</v>
      </c>
      <c r="F9" s="36">
        <v>20.0</v>
      </c>
      <c r="G9" s="37">
        <v>236780.0</v>
      </c>
      <c r="H9" s="38" t="s">
        <v>45</v>
      </c>
    </row>
    <row r="10" ht="21.75" customHeight="1">
      <c r="B10" s="41" t="s">
        <v>47</v>
      </c>
      <c r="C10" s="43">
        <v>15250.0</v>
      </c>
      <c r="D10" s="44" t="s">
        <v>51</v>
      </c>
      <c r="E10" s="44" t="s">
        <v>53</v>
      </c>
      <c r="F10" s="46">
        <v>55.0</v>
      </c>
      <c r="G10" s="43">
        <v>838750.0</v>
      </c>
      <c r="H10" s="47" t="s">
        <v>58</v>
      </c>
    </row>
    <row r="11" ht="21.75" customHeight="1">
      <c r="B11" s="32" t="s">
        <v>61</v>
      </c>
      <c r="C11" s="48">
        <v>18972.0</v>
      </c>
      <c r="D11" s="35" t="s">
        <v>61</v>
      </c>
      <c r="E11" s="35" t="s">
        <v>65</v>
      </c>
      <c r="F11" s="36">
        <v>5.0</v>
      </c>
      <c r="G11" s="37">
        <v>94860.0</v>
      </c>
      <c r="H11" s="38" t="s">
        <v>68</v>
      </c>
    </row>
    <row r="12" ht="21.75" customHeight="1">
      <c r="B12" s="51" t="s">
        <v>70</v>
      </c>
      <c r="C12" s="53">
        <v>5087.0</v>
      </c>
      <c r="D12" s="54" t="s">
        <v>72</v>
      </c>
      <c r="E12" s="54" t="s">
        <v>73</v>
      </c>
      <c r="F12" s="55">
        <v>14.0</v>
      </c>
      <c r="G12" s="53">
        <v>71218.0</v>
      </c>
      <c r="H12" s="56" t="s">
        <v>77</v>
      </c>
    </row>
    <row r="13" ht="21.75" customHeight="1">
      <c r="B13" s="51" t="s">
        <v>78</v>
      </c>
      <c r="C13" s="53">
        <v>5638.0</v>
      </c>
      <c r="D13" s="54" t="s">
        <v>72</v>
      </c>
      <c r="E13" s="54" t="s">
        <v>73</v>
      </c>
      <c r="F13" s="55">
        <v>14.0</v>
      </c>
      <c r="G13" s="53">
        <v>78932.0</v>
      </c>
      <c r="H13" s="56" t="s">
        <v>77</v>
      </c>
    </row>
    <row r="14" ht="21.75" customHeight="1">
      <c r="B14" s="57" t="s">
        <v>80</v>
      </c>
      <c r="C14" s="58">
        <v>3150.0</v>
      </c>
      <c r="D14" s="59" t="s">
        <v>83</v>
      </c>
      <c r="E14" s="59" t="s">
        <v>86</v>
      </c>
      <c r="F14" s="60">
        <v>10.0</v>
      </c>
      <c r="G14" s="58">
        <v>31500.0</v>
      </c>
      <c r="H14" s="61" t="s">
        <v>91</v>
      </c>
    </row>
    <row r="15" ht="21.75" customHeight="1">
      <c r="B15" s="57" t="s">
        <v>82</v>
      </c>
      <c r="C15" s="58">
        <v>2650.0</v>
      </c>
      <c r="D15" s="59" t="s">
        <v>83</v>
      </c>
      <c r="E15" s="59" t="s">
        <v>95</v>
      </c>
      <c r="F15" s="60">
        <v>2.0</v>
      </c>
      <c r="G15" s="58">
        <v>5300.0</v>
      </c>
      <c r="H15" s="61" t="s">
        <v>98</v>
      </c>
    </row>
    <row r="16" ht="21.75" customHeight="1">
      <c r="B16" s="57" t="s">
        <v>84</v>
      </c>
      <c r="C16" s="58">
        <v>2600.0</v>
      </c>
      <c r="D16" s="59" t="s">
        <v>83</v>
      </c>
      <c r="E16" s="59" t="s">
        <v>104</v>
      </c>
      <c r="F16" s="60">
        <v>22.0</v>
      </c>
      <c r="G16" s="58">
        <v>57200.0</v>
      </c>
      <c r="H16" s="61" t="s">
        <v>91</v>
      </c>
    </row>
    <row r="17" ht="21.75" customHeight="1">
      <c r="B17" s="57" t="s">
        <v>88</v>
      </c>
      <c r="C17" s="58">
        <v>2680.0</v>
      </c>
      <c r="D17" s="59" t="s">
        <v>83</v>
      </c>
      <c r="E17" s="59" t="s">
        <v>110</v>
      </c>
      <c r="F17" s="60">
        <v>23.0</v>
      </c>
      <c r="G17" s="58">
        <v>61640.0</v>
      </c>
      <c r="H17" s="61" t="s">
        <v>91</v>
      </c>
    </row>
    <row r="18" ht="21.75" customHeight="1">
      <c r="B18" s="57" t="s">
        <v>90</v>
      </c>
      <c r="C18" s="58">
        <v>5390.0</v>
      </c>
      <c r="D18" s="59" t="s">
        <v>83</v>
      </c>
      <c r="E18" s="59" t="s">
        <v>43</v>
      </c>
      <c r="F18" s="60">
        <v>20.0</v>
      </c>
      <c r="G18" s="58">
        <v>107800.0</v>
      </c>
      <c r="H18" s="61" t="s">
        <v>115</v>
      </c>
    </row>
    <row r="19" ht="21.75" customHeight="1">
      <c r="B19" s="57" t="s">
        <v>92</v>
      </c>
      <c r="C19" s="58">
        <v>3235.0</v>
      </c>
      <c r="D19" s="59" t="s">
        <v>83</v>
      </c>
      <c r="E19" s="59" t="s">
        <v>118</v>
      </c>
      <c r="F19" s="60">
        <v>17.0</v>
      </c>
      <c r="G19" s="58">
        <v>54995.0</v>
      </c>
      <c r="H19" s="61" t="s">
        <v>115</v>
      </c>
    </row>
    <row r="20" ht="21.75" customHeight="1">
      <c r="B20" s="57" t="s">
        <v>96</v>
      </c>
      <c r="C20" s="58">
        <v>1230.0</v>
      </c>
      <c r="D20" s="59" t="s">
        <v>83</v>
      </c>
      <c r="E20" s="59" t="s">
        <v>119</v>
      </c>
      <c r="F20" s="60">
        <v>9.0</v>
      </c>
      <c r="G20" s="58">
        <v>11070.0</v>
      </c>
      <c r="H20" s="61" t="s">
        <v>115</v>
      </c>
    </row>
    <row r="21" ht="21.75" customHeight="1">
      <c r="B21" s="65" t="s">
        <v>100</v>
      </c>
      <c r="C21" s="67">
        <v>2970.0</v>
      </c>
      <c r="D21" s="59" t="s">
        <v>83</v>
      </c>
      <c r="E21" s="59" t="s">
        <v>120</v>
      </c>
      <c r="F21" s="60">
        <v>25.0</v>
      </c>
      <c r="G21" s="58">
        <v>148000.0</v>
      </c>
      <c r="H21" s="68" t="s">
        <v>121</v>
      </c>
    </row>
    <row r="22" ht="21.75" customHeight="1">
      <c r="B22" s="65" t="s">
        <v>122</v>
      </c>
      <c r="C22" s="67">
        <v>2970.0</v>
      </c>
      <c r="D22" s="59" t="s">
        <v>83</v>
      </c>
      <c r="E22" s="59" t="s">
        <v>120</v>
      </c>
      <c r="F22" s="60">
        <v>25.0</v>
      </c>
      <c r="G22" s="58">
        <v>148000.0</v>
      </c>
      <c r="H22" s="68" t="s">
        <v>121</v>
      </c>
    </row>
    <row r="23" ht="21.75" customHeight="1">
      <c r="B23" s="57" t="s">
        <v>106</v>
      </c>
      <c r="C23" s="58">
        <v>5000.0</v>
      </c>
      <c r="D23" s="59" t="s">
        <v>83</v>
      </c>
      <c r="E23" s="59" t="s">
        <v>123</v>
      </c>
      <c r="F23" s="60">
        <v>31.0</v>
      </c>
      <c r="G23" s="58">
        <v>155000.0</v>
      </c>
      <c r="H23" s="61" t="s">
        <v>124</v>
      </c>
    </row>
    <row r="24" ht="21.75" customHeight="1">
      <c r="B24" s="65" t="s">
        <v>125</v>
      </c>
      <c r="C24" s="67">
        <v>1740.0</v>
      </c>
      <c r="D24" s="70" t="s">
        <v>125</v>
      </c>
      <c r="E24" s="70" t="s">
        <v>126</v>
      </c>
      <c r="F24" s="71">
        <v>6.0</v>
      </c>
      <c r="G24" s="67">
        <v>12590.0</v>
      </c>
      <c r="H24" s="68" t="s">
        <v>127</v>
      </c>
    </row>
    <row r="25" ht="21.75" customHeight="1">
      <c r="B25" s="72" t="s">
        <v>128</v>
      </c>
      <c r="C25" s="74">
        <f>SUM(C8:C24)</f>
        <v>90401</v>
      </c>
      <c r="D25" s="76"/>
      <c r="E25" s="76"/>
      <c r="F25" s="76"/>
      <c r="G25" s="76"/>
      <c r="H25" s="76"/>
    </row>
    <row r="26" ht="19.5" customHeight="1">
      <c r="B26" s="72" t="s">
        <v>129</v>
      </c>
      <c r="C26" s="74">
        <f>C5-C25</f>
        <v>19599</v>
      </c>
      <c r="D26" s="76"/>
      <c r="E26" s="76"/>
      <c r="F26" s="76"/>
      <c r="G26" s="76"/>
      <c r="H26" s="76"/>
    </row>
    <row r="27" ht="15.75" customHeight="1"/>
    <row r="28" ht="15.75" customHeight="1">
      <c r="B28" s="34" t="s">
        <v>130</v>
      </c>
      <c r="C28" s="25"/>
      <c r="D28" s="25"/>
      <c r="E28" s="25"/>
      <c r="F28" s="25"/>
      <c r="G28" s="25"/>
      <c r="H28" s="31"/>
    </row>
    <row r="29" ht="15.75" customHeight="1">
      <c r="B29" s="81" t="s">
        <v>131</v>
      </c>
      <c r="C29" s="25"/>
      <c r="D29" s="25"/>
      <c r="E29" s="25"/>
      <c r="F29" s="25"/>
      <c r="G29" s="25"/>
      <c r="H29" s="82"/>
    </row>
    <row r="30" ht="15.75" customHeight="1">
      <c r="B30" s="81" t="s">
        <v>132</v>
      </c>
      <c r="C30" s="25"/>
      <c r="D30" s="25"/>
      <c r="E30" s="25"/>
      <c r="F30" s="25"/>
      <c r="G30" s="25"/>
      <c r="H30" s="82"/>
    </row>
    <row r="31" ht="15.75" customHeight="1">
      <c r="B31" s="83" t="s">
        <v>133</v>
      </c>
      <c r="C31" s="25"/>
      <c r="D31" s="25"/>
      <c r="E31" s="25"/>
      <c r="F31" s="25"/>
      <c r="G31" s="25"/>
      <c r="H31" s="82"/>
    </row>
    <row r="32" ht="15.75" customHeight="1">
      <c r="B32" s="84" t="s">
        <v>134</v>
      </c>
      <c r="C32" s="25"/>
      <c r="D32" s="25"/>
      <c r="E32" s="25"/>
      <c r="F32" s="25"/>
      <c r="G32" s="25"/>
      <c r="H32" s="82"/>
    </row>
    <row r="33" ht="15.75" customHeight="1">
      <c r="B33" s="85" t="s">
        <v>135</v>
      </c>
      <c r="C33" s="25"/>
      <c r="D33" s="25"/>
      <c r="E33" s="25"/>
      <c r="F33" s="25"/>
      <c r="G33" s="25"/>
      <c r="H33" s="82"/>
    </row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7">
    <mergeCell ref="B1:H1"/>
    <mergeCell ref="B28:H28"/>
    <mergeCell ref="B29:H29"/>
    <mergeCell ref="B30:H30"/>
    <mergeCell ref="B31:H31"/>
    <mergeCell ref="B32:H32"/>
    <mergeCell ref="B33:H33"/>
  </mergeCells>
  <printOptions/>
  <pageMargins bottom="1.0" footer="0.0" header="0.0" left="0.75" right="0.75" top="1.0"/>
  <pageSetup paperSize="9" orientation="portrait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>
      <pane xSplit="1.0" topLeftCell="B1" activePane="topRight" state="frozen"/>
      <selection activeCell="C2" sqref="C2" pane="topRight"/>
    </sheetView>
  </sheetViews>
  <sheetFormatPr customHeight="1" defaultColWidth="14.43" defaultRowHeight="15.0"/>
  <cols>
    <col customWidth="1" min="1" max="1" width="2.0"/>
    <col customWidth="1" min="2" max="2" width="14.14"/>
    <col customWidth="1" min="3" max="3" width="13.57"/>
    <col customWidth="1" min="4" max="5" width="19.86"/>
    <col customWidth="1" min="6" max="6" width="14.14"/>
    <col customWidth="1" min="7" max="7" width="61.71"/>
    <col customWidth="1" min="8" max="9" width="14.71"/>
    <col customWidth="1" min="10" max="10" width="14.86"/>
    <col customWidth="1" min="11" max="11" width="11.0"/>
    <col customWidth="1" min="12" max="12" width="14.86"/>
    <col customWidth="1" min="13" max="13" width="13.57"/>
    <col customWidth="1" min="14" max="14" width="14.0"/>
    <col customWidth="1" min="15" max="15" width="11.0"/>
    <col customWidth="1" min="16" max="20" width="14.0"/>
    <col customWidth="1" min="21" max="22" width="14.71"/>
    <col customWidth="1" min="23" max="24" width="14.0"/>
    <col customWidth="1" min="25" max="29" width="8.71"/>
  </cols>
  <sheetData>
    <row r="1" ht="27.75" customHeight="1">
      <c r="B1" s="23" t="s">
        <v>24</v>
      </c>
      <c r="C1" s="25"/>
      <c r="D1" s="25"/>
      <c r="E1" s="25"/>
      <c r="F1" s="25"/>
      <c r="G1" s="25"/>
      <c r="H1" s="25"/>
      <c r="I1" s="25"/>
      <c r="J1" s="25"/>
      <c r="K1" s="25"/>
      <c r="L1" s="25"/>
      <c r="M1" s="25"/>
      <c r="N1" s="25"/>
      <c r="O1" s="25"/>
      <c r="P1" s="25"/>
      <c r="Q1" s="25"/>
      <c r="R1" s="25"/>
      <c r="S1" s="25"/>
      <c r="T1" s="25"/>
      <c r="U1" s="25"/>
      <c r="V1" s="25"/>
      <c r="W1" s="31"/>
    </row>
    <row r="2" ht="15.75" customHeight="1">
      <c r="B2" s="34" t="s">
        <v>32</v>
      </c>
      <c r="C2" s="25"/>
      <c r="D2" s="25"/>
      <c r="E2" s="25"/>
      <c r="F2" s="25"/>
      <c r="G2" s="25"/>
      <c r="H2" s="25"/>
      <c r="I2" s="25"/>
      <c r="J2" s="25"/>
      <c r="K2" s="25"/>
      <c r="L2" s="25"/>
      <c r="M2" s="25"/>
      <c r="N2" s="25"/>
      <c r="O2" s="25"/>
      <c r="P2" s="25"/>
      <c r="Q2" s="25"/>
      <c r="R2" s="25"/>
      <c r="S2" s="25"/>
      <c r="T2" s="25"/>
      <c r="U2" s="25"/>
      <c r="V2" s="25"/>
      <c r="W2" s="31"/>
    </row>
    <row r="3" ht="7.5" customHeight="1"/>
    <row r="4" ht="36.0" customHeight="1">
      <c r="B4" s="42" t="s">
        <v>6</v>
      </c>
      <c r="C4" s="42" t="s">
        <v>50</v>
      </c>
      <c r="D4" s="42" t="s">
        <v>54</v>
      </c>
      <c r="E4" s="42" t="s">
        <v>56</v>
      </c>
      <c r="F4" s="42" t="s">
        <v>59</v>
      </c>
      <c r="G4" s="42" t="s">
        <v>66</v>
      </c>
      <c r="H4" s="52" t="s">
        <v>31</v>
      </c>
      <c r="I4" s="52" t="s">
        <v>41</v>
      </c>
      <c r="J4" s="52" t="s">
        <v>47</v>
      </c>
      <c r="K4" s="52" t="s">
        <v>61</v>
      </c>
      <c r="L4" s="52" t="s">
        <v>70</v>
      </c>
      <c r="M4" s="52" t="s">
        <v>78</v>
      </c>
      <c r="N4" s="52" t="s">
        <v>80</v>
      </c>
      <c r="O4" s="52" t="s">
        <v>82</v>
      </c>
      <c r="P4" s="52" t="s">
        <v>84</v>
      </c>
      <c r="Q4" s="52" t="s">
        <v>88</v>
      </c>
      <c r="R4" s="52" t="s">
        <v>90</v>
      </c>
      <c r="S4" s="52" t="s">
        <v>92</v>
      </c>
      <c r="T4" s="52" t="s">
        <v>96</v>
      </c>
      <c r="U4" s="62" t="s">
        <v>100</v>
      </c>
      <c r="V4" s="62" t="s">
        <v>103</v>
      </c>
      <c r="W4" s="52" t="s">
        <v>106</v>
      </c>
      <c r="X4" s="52" t="s">
        <v>108</v>
      </c>
    </row>
    <row r="5" ht="22.5" customHeight="1">
      <c r="B5" s="63" t="s">
        <v>112</v>
      </c>
      <c r="C5" s="66">
        <f>Loans!$C$5</f>
        <v>110000</v>
      </c>
      <c r="D5" s="69">
        <f t="shared" ref="D5:D59" si="1">SUM(H5:X5)</f>
        <v>93336</v>
      </c>
      <c r="E5" s="69">
        <f>IF(B5="","",SUMIFS('June 2026 Expenses'!C:C, 'June 2026 Expenses'!A:A, "&gt;="&amp;DATEVALUE(B5), 'June 2026 Expenses'!A:A, "&lt;="&amp;EOMONTH(DATEVALUE(B5), 0)))</f>
        <v>134263</v>
      </c>
      <c r="F5" s="73">
        <f t="shared" ref="F5:F59" si="2">C5-D5-E5</f>
        <v>-117599</v>
      </c>
      <c r="G5" s="75"/>
      <c r="H5" s="77">
        <v>0.0</v>
      </c>
      <c r="I5" s="78">
        <v>11839.0</v>
      </c>
      <c r="J5" s="78">
        <v>15250.0</v>
      </c>
      <c r="K5" s="79">
        <v>18972.0</v>
      </c>
      <c r="L5" s="80">
        <v>4500.0</v>
      </c>
      <c r="M5" s="80">
        <v>5000.0</v>
      </c>
      <c r="N5" s="78">
        <v>3150.0</v>
      </c>
      <c r="O5" s="79">
        <v>2650.0</v>
      </c>
      <c r="P5" s="78">
        <v>2600.0</v>
      </c>
      <c r="Q5" s="78">
        <v>2680.0</v>
      </c>
      <c r="R5" s="78">
        <v>5390.0</v>
      </c>
      <c r="S5" s="78">
        <v>3235.0</v>
      </c>
      <c r="T5" s="78">
        <v>1230.0</v>
      </c>
      <c r="U5" s="78">
        <v>5920.0</v>
      </c>
      <c r="V5" s="78">
        <v>5920.0</v>
      </c>
      <c r="W5" s="78">
        <v>5000.0</v>
      </c>
      <c r="X5" s="80">
        <v>0.0</v>
      </c>
    </row>
    <row r="6" ht="22.5" customHeight="1">
      <c r="B6" s="86" t="s">
        <v>95</v>
      </c>
      <c r="C6" s="66">
        <f>Loans!$C$5</f>
        <v>110000</v>
      </c>
      <c r="D6" s="87">
        <f t="shared" si="1"/>
        <v>121570</v>
      </c>
      <c r="E6" s="87">
        <f>IF(B6="","",SUMIFS('June 2026 Expenses'!C:C, 'June 2026 Expenses'!A:A, "&gt;="&amp;DATEVALUE(B6), 'June 2026 Expenses'!A:A, "&lt;="&amp;EOMONTH(DATEVALUE(B6), 0)))</f>
        <v>0</v>
      </c>
      <c r="F6" s="73">
        <f t="shared" si="2"/>
        <v>-11570</v>
      </c>
      <c r="G6" s="88" t="s">
        <v>136</v>
      </c>
      <c r="H6" s="89">
        <v>26494.0</v>
      </c>
      <c r="I6" s="89">
        <v>11839.0</v>
      </c>
      <c r="J6" s="89">
        <v>15250.0</v>
      </c>
      <c r="K6" s="90">
        <v>18972.0</v>
      </c>
      <c r="L6" s="80">
        <v>4500.0</v>
      </c>
      <c r="M6" s="80">
        <v>5000.0</v>
      </c>
      <c r="N6" s="89">
        <v>3150.0</v>
      </c>
      <c r="O6" s="91">
        <v>2650.0</v>
      </c>
      <c r="P6" s="89">
        <v>2600.0</v>
      </c>
      <c r="Q6" s="89">
        <v>2680.0</v>
      </c>
      <c r="R6" s="89">
        <v>5390.0</v>
      </c>
      <c r="S6" s="89">
        <v>3235.0</v>
      </c>
      <c r="T6" s="89">
        <v>1230.0</v>
      </c>
      <c r="U6" s="89">
        <v>5920.0</v>
      </c>
      <c r="V6" s="89">
        <v>5920.0</v>
      </c>
      <c r="W6" s="89">
        <v>5000.0</v>
      </c>
      <c r="X6" s="77">
        <v>1740.0</v>
      </c>
    </row>
    <row r="7" ht="22.5" customHeight="1">
      <c r="B7" s="63" t="s">
        <v>137</v>
      </c>
      <c r="C7" s="92">
        <f>Loans!$C$5</f>
        <v>110000</v>
      </c>
      <c r="D7" s="69">
        <f t="shared" si="1"/>
        <v>118920</v>
      </c>
      <c r="E7" s="69">
        <f>IF(B7="","",SUMIFS('June 2026 Expenses'!C:C, 'June 2026 Expenses'!A:A, "&gt;="&amp;DATEVALUE(B7), 'June 2026 Expenses'!A:A, "&lt;="&amp;EOMONTH(DATEVALUE(B7), 0)))</f>
        <v>0</v>
      </c>
      <c r="F7" s="73">
        <f t="shared" si="2"/>
        <v>-8920</v>
      </c>
      <c r="G7" s="75"/>
      <c r="H7" s="78">
        <v>26494.0</v>
      </c>
      <c r="I7" s="78">
        <v>11839.0</v>
      </c>
      <c r="J7" s="78">
        <v>15250.0</v>
      </c>
      <c r="K7" s="79">
        <v>18972.0</v>
      </c>
      <c r="L7" s="80">
        <v>4500.0</v>
      </c>
      <c r="M7" s="80">
        <v>5000.0</v>
      </c>
      <c r="N7" s="78">
        <v>3150.0</v>
      </c>
      <c r="O7" s="98"/>
      <c r="P7" s="78">
        <v>2600.0</v>
      </c>
      <c r="Q7" s="78">
        <v>2680.0</v>
      </c>
      <c r="R7" s="78">
        <v>5390.0</v>
      </c>
      <c r="S7" s="78">
        <v>3235.0</v>
      </c>
      <c r="T7" s="78">
        <v>1230.0</v>
      </c>
      <c r="U7" s="78">
        <v>5920.0</v>
      </c>
      <c r="V7" s="78">
        <v>5920.0</v>
      </c>
      <c r="W7" s="78">
        <v>5000.0</v>
      </c>
      <c r="X7" s="77">
        <v>1740.0</v>
      </c>
    </row>
    <row r="8" ht="22.5" customHeight="1">
      <c r="B8" s="109" t="s">
        <v>175</v>
      </c>
      <c r="C8" s="110">
        <f>Loans!$C$5</f>
        <v>110000</v>
      </c>
      <c r="D8" s="112">
        <f t="shared" si="1"/>
        <v>118920</v>
      </c>
      <c r="E8" s="112">
        <f>IF(B8="","",SUMIFS('June 2026 Expenses'!C:C, 'June 2026 Expenses'!A:A, "&gt;="&amp;DATEVALUE(B8), 'June 2026 Expenses'!A:A, "&lt;="&amp;EOMONTH(DATEVALUE(B8), 0)))</f>
        <v>0</v>
      </c>
      <c r="F8" s="73">
        <f t="shared" si="2"/>
        <v>-8920</v>
      </c>
      <c r="G8" s="119"/>
      <c r="H8" s="120">
        <v>26494.0</v>
      </c>
      <c r="I8" s="120">
        <v>11839.0</v>
      </c>
      <c r="J8" s="120">
        <v>15250.0</v>
      </c>
      <c r="K8" s="123">
        <v>18972.0</v>
      </c>
      <c r="L8" s="80">
        <v>4500.0</v>
      </c>
      <c r="M8" s="80">
        <v>5000.0</v>
      </c>
      <c r="N8" s="120">
        <v>3150.0</v>
      </c>
      <c r="O8" s="98"/>
      <c r="P8" s="120">
        <v>2600.0</v>
      </c>
      <c r="Q8" s="120">
        <v>2680.0</v>
      </c>
      <c r="R8" s="120">
        <v>5390.0</v>
      </c>
      <c r="S8" s="120">
        <v>3235.0</v>
      </c>
      <c r="T8" s="120">
        <v>1230.0</v>
      </c>
      <c r="U8" s="120">
        <v>5920.0</v>
      </c>
      <c r="V8" s="120">
        <v>5920.0</v>
      </c>
      <c r="W8" s="120">
        <v>5000.0</v>
      </c>
      <c r="X8" s="77">
        <v>1740.0</v>
      </c>
    </row>
    <row r="9" ht="22.5" customHeight="1">
      <c r="B9" s="86" t="s">
        <v>65</v>
      </c>
      <c r="C9" s="66">
        <f>Loans!$C$5</f>
        <v>110000</v>
      </c>
      <c r="D9" s="87">
        <f t="shared" si="1"/>
        <v>118920</v>
      </c>
      <c r="E9" s="87">
        <f>IF(B9="","",SUMIFS('June 2026 Expenses'!C:C, 'June 2026 Expenses'!A:A, "&gt;="&amp;DATEVALUE(B9), 'June 2026 Expenses'!A:A, "&lt;="&amp;EOMONTH(DATEVALUE(B9), 0)))</f>
        <v>0</v>
      </c>
      <c r="F9" s="73">
        <f t="shared" si="2"/>
        <v>-8920</v>
      </c>
      <c r="G9" s="88" t="s">
        <v>243</v>
      </c>
      <c r="H9" s="89">
        <v>26494.0</v>
      </c>
      <c r="I9" s="89">
        <v>11839.0</v>
      </c>
      <c r="J9" s="89">
        <v>15250.0</v>
      </c>
      <c r="K9" s="91">
        <v>18972.0</v>
      </c>
      <c r="L9" s="80">
        <v>4500.0</v>
      </c>
      <c r="M9" s="80">
        <v>5000.0</v>
      </c>
      <c r="N9" s="89">
        <v>3150.0</v>
      </c>
      <c r="O9" s="98"/>
      <c r="P9" s="89">
        <v>2600.0</v>
      </c>
      <c r="Q9" s="89">
        <v>2680.0</v>
      </c>
      <c r="R9" s="89">
        <v>5390.0</v>
      </c>
      <c r="S9" s="89">
        <v>3235.0</v>
      </c>
      <c r="T9" s="89">
        <v>1230.0</v>
      </c>
      <c r="U9" s="89">
        <v>5920.0</v>
      </c>
      <c r="V9" s="89">
        <v>5920.0</v>
      </c>
      <c r="W9" s="89">
        <v>5000.0</v>
      </c>
      <c r="X9" s="77">
        <v>1740.0</v>
      </c>
    </row>
    <row r="10" ht="22.5" customHeight="1">
      <c r="B10" s="109" t="s">
        <v>193</v>
      </c>
      <c r="C10" s="110">
        <f>Loans!$C$5</f>
        <v>110000</v>
      </c>
      <c r="D10" s="141">
        <f t="shared" si="1"/>
        <v>99948</v>
      </c>
      <c r="E10" s="141">
        <f>IF(B10="","",SUMIFS('June 2026 Expenses'!C:C, 'June 2026 Expenses'!A:A, "&gt;="&amp;DATEVALUE(B10), 'June 2026 Expenses'!A:A, "&lt;="&amp;EOMONTH(DATEVALUE(B10), 0)))</f>
        <v>0</v>
      </c>
      <c r="F10" s="149">
        <f t="shared" si="2"/>
        <v>10052</v>
      </c>
      <c r="G10" s="119"/>
      <c r="H10" s="120">
        <v>26494.0</v>
      </c>
      <c r="I10" s="120">
        <v>11839.0</v>
      </c>
      <c r="J10" s="120">
        <v>15250.0</v>
      </c>
      <c r="K10" s="98"/>
      <c r="L10" s="80">
        <v>4500.0</v>
      </c>
      <c r="M10" s="80">
        <v>5000.0</v>
      </c>
      <c r="N10" s="120">
        <v>3150.0</v>
      </c>
      <c r="O10" s="98"/>
      <c r="P10" s="120">
        <v>2600.0</v>
      </c>
      <c r="Q10" s="120">
        <v>2680.0</v>
      </c>
      <c r="R10" s="120">
        <v>5390.0</v>
      </c>
      <c r="S10" s="120">
        <v>3235.0</v>
      </c>
      <c r="T10" s="120">
        <v>1230.0</v>
      </c>
      <c r="U10" s="120">
        <v>5920.0</v>
      </c>
      <c r="V10" s="120">
        <v>5920.0</v>
      </c>
      <c r="W10" s="120">
        <v>5000.0</v>
      </c>
      <c r="X10" s="77">
        <v>1740.0</v>
      </c>
    </row>
    <row r="11" ht="22.5" customHeight="1">
      <c r="B11" s="63" t="s">
        <v>305</v>
      </c>
      <c r="C11" s="92">
        <f>Loans!$C$5</f>
        <v>110000</v>
      </c>
      <c r="D11" s="169">
        <f t="shared" si="1"/>
        <v>99948</v>
      </c>
      <c r="E11" s="169">
        <f>IF(B11="","",SUMIFS('June 2026 Expenses'!C:C, 'June 2026 Expenses'!A:A, "&gt;="&amp;DATEVALUE(B11), 'June 2026 Expenses'!A:A, "&lt;="&amp;EOMONTH(DATEVALUE(B11), 0)))</f>
        <v>0</v>
      </c>
      <c r="F11" s="173">
        <f t="shared" si="2"/>
        <v>10052</v>
      </c>
      <c r="G11" s="75"/>
      <c r="H11" s="78">
        <v>26494.0</v>
      </c>
      <c r="I11" s="78">
        <v>11839.0</v>
      </c>
      <c r="J11" s="78">
        <v>15250.0</v>
      </c>
      <c r="K11" s="98"/>
      <c r="L11" s="80">
        <v>4500.0</v>
      </c>
      <c r="M11" s="80">
        <v>5000.0</v>
      </c>
      <c r="N11" s="78">
        <v>3150.0</v>
      </c>
      <c r="O11" s="98"/>
      <c r="P11" s="78">
        <v>2600.0</v>
      </c>
      <c r="Q11" s="78">
        <v>2680.0</v>
      </c>
      <c r="R11" s="78">
        <v>5390.0</v>
      </c>
      <c r="S11" s="78">
        <v>3235.0</v>
      </c>
      <c r="T11" s="78">
        <v>1230.0</v>
      </c>
      <c r="U11" s="78">
        <v>5920.0</v>
      </c>
      <c r="V11" s="78">
        <v>5920.0</v>
      </c>
      <c r="W11" s="78">
        <v>5000.0</v>
      </c>
      <c r="X11" s="77">
        <v>1740.0</v>
      </c>
    </row>
    <row r="12" ht="22.5" customHeight="1">
      <c r="B12" s="109" t="s">
        <v>196</v>
      </c>
      <c r="C12" s="110">
        <f>Loans!$C$5</f>
        <v>110000</v>
      </c>
      <c r="D12" s="141">
        <f t="shared" si="1"/>
        <v>98208</v>
      </c>
      <c r="E12" s="141">
        <f>IF(B12="","",SUMIFS('June 2026 Expenses'!C:C, 'June 2026 Expenses'!A:A, "&gt;="&amp;DATEVALUE(B12), 'June 2026 Expenses'!A:A, "&lt;="&amp;EOMONTH(DATEVALUE(B12), 0)))</f>
        <v>0</v>
      </c>
      <c r="F12" s="149">
        <f t="shared" si="2"/>
        <v>11792</v>
      </c>
      <c r="G12" s="119"/>
      <c r="H12" s="120">
        <v>26494.0</v>
      </c>
      <c r="I12" s="120">
        <v>11839.0</v>
      </c>
      <c r="J12" s="120">
        <v>15250.0</v>
      </c>
      <c r="K12" s="98"/>
      <c r="L12" s="80">
        <v>4500.0</v>
      </c>
      <c r="M12" s="80">
        <v>5000.0</v>
      </c>
      <c r="N12" s="120">
        <v>3150.0</v>
      </c>
      <c r="O12" s="98"/>
      <c r="P12" s="120">
        <v>2600.0</v>
      </c>
      <c r="Q12" s="120">
        <v>2680.0</v>
      </c>
      <c r="R12" s="120">
        <v>5390.0</v>
      </c>
      <c r="S12" s="120">
        <v>3235.0</v>
      </c>
      <c r="T12" s="120">
        <v>1230.0</v>
      </c>
      <c r="U12" s="120">
        <v>5920.0</v>
      </c>
      <c r="V12" s="120">
        <v>5920.0</v>
      </c>
      <c r="W12" s="120">
        <v>5000.0</v>
      </c>
      <c r="X12" s="120"/>
    </row>
    <row r="13" ht="22.5" customHeight="1">
      <c r="B13" s="86" t="s">
        <v>119</v>
      </c>
      <c r="C13" s="66">
        <f>Loans!$C$5</f>
        <v>110000</v>
      </c>
      <c r="D13" s="176">
        <f t="shared" si="1"/>
        <v>98208</v>
      </c>
      <c r="E13" s="176">
        <f>IF(B13="","",SUMIFS('June 2026 Expenses'!C:C, 'June 2026 Expenses'!A:A, "&gt;="&amp;DATEVALUE(B13), 'June 2026 Expenses'!A:A, "&lt;="&amp;EOMONTH(DATEVALUE(B13), 0)))</f>
        <v>0</v>
      </c>
      <c r="F13" s="177">
        <f t="shared" si="2"/>
        <v>11792</v>
      </c>
      <c r="G13" s="88" t="s">
        <v>335</v>
      </c>
      <c r="H13" s="89">
        <v>26494.0</v>
      </c>
      <c r="I13" s="89">
        <v>11839.0</v>
      </c>
      <c r="J13" s="89">
        <v>15250.0</v>
      </c>
      <c r="K13" s="98"/>
      <c r="L13" s="80">
        <v>4500.0</v>
      </c>
      <c r="M13" s="80">
        <v>5000.0</v>
      </c>
      <c r="N13" s="89">
        <v>3150.0</v>
      </c>
      <c r="O13" s="98"/>
      <c r="P13" s="89">
        <v>2600.0</v>
      </c>
      <c r="Q13" s="89">
        <v>2680.0</v>
      </c>
      <c r="R13" s="89">
        <v>5390.0</v>
      </c>
      <c r="S13" s="89">
        <v>3235.0</v>
      </c>
      <c r="T13" s="178">
        <v>1230.0</v>
      </c>
      <c r="U13" s="89">
        <v>5920.0</v>
      </c>
      <c r="V13" s="89">
        <v>5920.0</v>
      </c>
      <c r="W13" s="89">
        <v>5000.0</v>
      </c>
      <c r="X13" s="120"/>
    </row>
    <row r="14" ht="22.5" customHeight="1">
      <c r="B14" s="86" t="s">
        <v>86</v>
      </c>
      <c r="C14" s="66">
        <f>Loans!$C$5</f>
        <v>110000</v>
      </c>
      <c r="D14" s="176">
        <f t="shared" si="1"/>
        <v>96978</v>
      </c>
      <c r="E14" s="176">
        <f>IF(B14="","",SUMIFS('June 2026 Expenses'!C:C, 'June 2026 Expenses'!A:A, "&gt;="&amp;DATEVALUE(B14), 'June 2026 Expenses'!A:A, "&lt;="&amp;EOMONTH(DATEVALUE(B14), 0)))</f>
        <v>0</v>
      </c>
      <c r="F14" s="177">
        <f t="shared" si="2"/>
        <v>13022</v>
      </c>
      <c r="G14" s="88" t="s">
        <v>336</v>
      </c>
      <c r="H14" s="89">
        <v>26494.0</v>
      </c>
      <c r="I14" s="89">
        <v>11839.0</v>
      </c>
      <c r="J14" s="89">
        <v>15250.0</v>
      </c>
      <c r="K14" s="98"/>
      <c r="L14" s="80">
        <v>4500.0</v>
      </c>
      <c r="M14" s="80">
        <v>5000.0</v>
      </c>
      <c r="N14" s="178">
        <v>3150.0</v>
      </c>
      <c r="O14" s="98"/>
      <c r="P14" s="89">
        <v>2600.0</v>
      </c>
      <c r="Q14" s="89">
        <v>2680.0</v>
      </c>
      <c r="R14" s="89">
        <v>5390.0</v>
      </c>
      <c r="S14" s="89">
        <v>3235.0</v>
      </c>
      <c r="T14" s="179"/>
      <c r="U14" s="89">
        <v>5920.0</v>
      </c>
      <c r="V14" s="89">
        <v>5920.0</v>
      </c>
      <c r="W14" s="89">
        <v>5000.0</v>
      </c>
      <c r="X14" s="120"/>
    </row>
    <row r="15" ht="22.5" customHeight="1">
      <c r="B15" s="63" t="s">
        <v>337</v>
      </c>
      <c r="C15" s="92">
        <f>Loans!$C$5</f>
        <v>110000</v>
      </c>
      <c r="D15" s="169">
        <f t="shared" si="1"/>
        <v>93828</v>
      </c>
      <c r="E15" s="169">
        <f>IF(B15="","",SUMIFS('June 2026 Expenses'!C:C, 'June 2026 Expenses'!A:A, "&gt;="&amp;DATEVALUE(B15), 'June 2026 Expenses'!A:A, "&lt;="&amp;EOMONTH(DATEVALUE(B15), 0)))</f>
        <v>0</v>
      </c>
      <c r="F15" s="173">
        <f t="shared" si="2"/>
        <v>16172</v>
      </c>
      <c r="G15" s="75"/>
      <c r="H15" s="78">
        <v>26494.0</v>
      </c>
      <c r="I15" s="78">
        <v>11839.0</v>
      </c>
      <c r="J15" s="78">
        <v>15250.0</v>
      </c>
      <c r="K15" s="98"/>
      <c r="L15" s="80">
        <v>4500.0</v>
      </c>
      <c r="M15" s="80">
        <v>5000.0</v>
      </c>
      <c r="N15" s="179"/>
      <c r="O15" s="98"/>
      <c r="P15" s="78">
        <v>2600.0</v>
      </c>
      <c r="Q15" s="78">
        <v>2680.0</v>
      </c>
      <c r="R15" s="78">
        <v>5390.0</v>
      </c>
      <c r="S15" s="78">
        <v>3235.0</v>
      </c>
      <c r="T15" s="179"/>
      <c r="U15" s="78">
        <v>5920.0</v>
      </c>
      <c r="V15" s="78">
        <v>5920.0</v>
      </c>
      <c r="W15" s="78">
        <v>5000.0</v>
      </c>
      <c r="X15" s="120"/>
    </row>
    <row r="16" ht="22.5" customHeight="1">
      <c r="B16" s="109" t="s">
        <v>338</v>
      </c>
      <c r="C16" s="110">
        <f>Loans!$C$5</f>
        <v>110000</v>
      </c>
      <c r="D16" s="141">
        <f t="shared" si="1"/>
        <v>93828</v>
      </c>
      <c r="E16" s="141">
        <f>IF(B16="","",SUMIFS('June 2026 Expenses'!C:C, 'June 2026 Expenses'!A:A, "&gt;="&amp;DATEVALUE(B16), 'June 2026 Expenses'!A:A, "&lt;="&amp;EOMONTH(DATEVALUE(B16), 0)))</f>
        <v>0</v>
      </c>
      <c r="F16" s="149">
        <f t="shared" si="2"/>
        <v>16172</v>
      </c>
      <c r="G16" s="119"/>
      <c r="H16" s="120">
        <v>26494.0</v>
      </c>
      <c r="I16" s="120">
        <v>11839.0</v>
      </c>
      <c r="J16" s="120">
        <v>15250.0</v>
      </c>
      <c r="K16" s="98"/>
      <c r="L16" s="80">
        <v>4500.0</v>
      </c>
      <c r="M16" s="80">
        <v>5000.0</v>
      </c>
      <c r="N16" s="179"/>
      <c r="O16" s="98"/>
      <c r="P16" s="120">
        <v>2600.0</v>
      </c>
      <c r="Q16" s="120">
        <v>2680.0</v>
      </c>
      <c r="R16" s="120">
        <v>5390.0</v>
      </c>
      <c r="S16" s="120">
        <v>3235.0</v>
      </c>
      <c r="T16" s="179"/>
      <c r="U16" s="120">
        <v>5920.0</v>
      </c>
      <c r="V16" s="120">
        <v>5920.0</v>
      </c>
      <c r="W16" s="120">
        <v>5000.0</v>
      </c>
      <c r="X16" s="120"/>
    </row>
    <row r="17" ht="22.5" customHeight="1">
      <c r="B17" s="180" t="s">
        <v>201</v>
      </c>
      <c r="C17" s="181">
        <f>Loans!$C$5</f>
        <v>110000</v>
      </c>
      <c r="D17" s="182">
        <f t="shared" si="1"/>
        <v>93828</v>
      </c>
      <c r="E17" s="182">
        <f>IF(B17="","",SUMIFS('June 2026 Expenses'!C:C, 'June 2026 Expenses'!A:A, "&gt;="&amp;DATEVALUE(B17), 'June 2026 Expenses'!A:A, "&lt;="&amp;EOMONTH(DATEVALUE(B17), 0)))</f>
        <v>0</v>
      </c>
      <c r="F17" s="183">
        <f t="shared" si="2"/>
        <v>16172</v>
      </c>
      <c r="G17" s="184" t="s">
        <v>339</v>
      </c>
      <c r="H17" s="185">
        <v>26494.0</v>
      </c>
      <c r="I17" s="185">
        <v>11839.0</v>
      </c>
      <c r="J17" s="185">
        <v>15250.0</v>
      </c>
      <c r="K17" s="98"/>
      <c r="L17" s="80">
        <v>4500.0</v>
      </c>
      <c r="M17" s="80">
        <v>5000.0</v>
      </c>
      <c r="N17" s="179"/>
      <c r="O17" s="98"/>
      <c r="P17" s="185">
        <v>2600.0</v>
      </c>
      <c r="Q17" s="185">
        <v>2680.0</v>
      </c>
      <c r="R17" s="185">
        <v>5390.0</v>
      </c>
      <c r="S17" s="185">
        <v>3235.0</v>
      </c>
      <c r="T17" s="179"/>
      <c r="U17" s="185">
        <v>5920.0</v>
      </c>
      <c r="V17" s="185">
        <v>5920.0</v>
      </c>
      <c r="W17" s="185">
        <v>5000.0</v>
      </c>
      <c r="X17" s="120"/>
    </row>
    <row r="18" ht="22.5" customHeight="1">
      <c r="B18" s="186" t="s">
        <v>73</v>
      </c>
      <c r="C18" s="187">
        <f>Loans!$C$5</f>
        <v>110000</v>
      </c>
      <c r="D18" s="188">
        <f t="shared" si="1"/>
        <v>93828</v>
      </c>
      <c r="E18" s="188">
        <f>IF(B18="","",SUMIFS('June 2026 Expenses'!C:C, 'June 2026 Expenses'!A:A, "&gt;="&amp;DATEVALUE(B18), 'June 2026 Expenses'!A:A, "&lt;="&amp;EOMONTH(DATEVALUE(B18), 0)))</f>
        <v>0</v>
      </c>
      <c r="F18" s="189">
        <f t="shared" si="2"/>
        <v>16172</v>
      </c>
      <c r="G18" s="190" t="s">
        <v>340</v>
      </c>
      <c r="H18" s="191">
        <v>26494.0</v>
      </c>
      <c r="I18" s="191">
        <v>11839.0</v>
      </c>
      <c r="J18" s="191">
        <v>15250.0</v>
      </c>
      <c r="K18" s="98"/>
      <c r="L18" s="80">
        <v>4500.0</v>
      </c>
      <c r="M18" s="80">
        <v>5000.0</v>
      </c>
      <c r="N18" s="179"/>
      <c r="O18" s="98"/>
      <c r="P18" s="191">
        <v>2600.0</v>
      </c>
      <c r="Q18" s="191">
        <v>2680.0</v>
      </c>
      <c r="R18" s="191">
        <v>5390.0</v>
      </c>
      <c r="S18" s="191">
        <v>3235.0</v>
      </c>
      <c r="T18" s="179"/>
      <c r="U18" s="191">
        <v>5920.0</v>
      </c>
      <c r="V18" s="191">
        <v>5920.0</v>
      </c>
      <c r="W18" s="191">
        <v>5000.0</v>
      </c>
      <c r="X18" s="120"/>
    </row>
    <row r="19" ht="22.5" customHeight="1">
      <c r="B19" s="63" t="s">
        <v>341</v>
      </c>
      <c r="C19" s="92">
        <f>Loans!$C$5</f>
        <v>110000</v>
      </c>
      <c r="D19" s="169">
        <f t="shared" si="1"/>
        <v>84328</v>
      </c>
      <c r="E19" s="169">
        <f>IF(B19="","",SUMIFS('June 2026 Expenses'!C:C, 'June 2026 Expenses'!A:A, "&gt;="&amp;DATEVALUE(B19), 'June 2026 Expenses'!A:A, "&lt;="&amp;EOMONTH(DATEVALUE(B19), 0)))</f>
        <v>0</v>
      </c>
      <c r="F19" s="173">
        <f t="shared" si="2"/>
        <v>25672</v>
      </c>
      <c r="G19" s="75"/>
      <c r="H19" s="78">
        <v>26494.0</v>
      </c>
      <c r="I19" s="78">
        <v>11839.0</v>
      </c>
      <c r="J19" s="78">
        <v>15250.0</v>
      </c>
      <c r="K19" s="98"/>
      <c r="L19" s="179"/>
      <c r="M19" s="179"/>
      <c r="N19" s="179"/>
      <c r="O19" s="98"/>
      <c r="P19" s="78">
        <v>2600.0</v>
      </c>
      <c r="Q19" s="78">
        <v>2680.0</v>
      </c>
      <c r="R19" s="78">
        <v>5390.0</v>
      </c>
      <c r="S19" s="78">
        <v>3235.0</v>
      </c>
      <c r="T19" s="179"/>
      <c r="U19" s="78">
        <v>5920.0</v>
      </c>
      <c r="V19" s="78">
        <v>5920.0</v>
      </c>
      <c r="W19" s="78">
        <v>5000.0</v>
      </c>
      <c r="X19" s="120"/>
    </row>
    <row r="20" ht="15.75" customHeight="1">
      <c r="B20" s="109" t="s">
        <v>342</v>
      </c>
      <c r="C20" s="110">
        <f>Loans!$C$5</f>
        <v>110000</v>
      </c>
      <c r="D20" s="141">
        <f t="shared" si="1"/>
        <v>84328</v>
      </c>
      <c r="E20" s="141">
        <f>IF(B20="","",SUMIFS('June 2026 Expenses'!C:C, 'June 2026 Expenses'!A:A, "&gt;="&amp;DATEVALUE(B20), 'June 2026 Expenses'!A:A, "&lt;="&amp;EOMONTH(DATEVALUE(B20), 0)))</f>
        <v>0</v>
      </c>
      <c r="F20" s="149">
        <f t="shared" si="2"/>
        <v>25672</v>
      </c>
      <c r="G20" s="119"/>
      <c r="H20" s="120">
        <v>26494.0</v>
      </c>
      <c r="I20" s="120">
        <v>11839.0</v>
      </c>
      <c r="J20" s="120">
        <v>15250.0</v>
      </c>
      <c r="K20" s="98"/>
      <c r="L20" s="179"/>
      <c r="M20" s="179"/>
      <c r="N20" s="179"/>
      <c r="O20" s="98"/>
      <c r="P20" s="120">
        <v>2600.0</v>
      </c>
      <c r="Q20" s="120">
        <v>2680.0</v>
      </c>
      <c r="R20" s="120">
        <v>5390.0</v>
      </c>
      <c r="S20" s="120">
        <v>3235.0</v>
      </c>
      <c r="T20" s="179"/>
      <c r="U20" s="120">
        <v>5920.0</v>
      </c>
      <c r="V20" s="120">
        <v>5920.0</v>
      </c>
      <c r="W20" s="120">
        <v>5000.0</v>
      </c>
      <c r="X20" s="120"/>
    </row>
    <row r="21" ht="15.75" customHeight="1">
      <c r="B21" s="86" t="s">
        <v>118</v>
      </c>
      <c r="C21" s="66">
        <f>Loans!$C$5</f>
        <v>110000</v>
      </c>
      <c r="D21" s="176">
        <f t="shared" si="1"/>
        <v>84328</v>
      </c>
      <c r="E21" s="176">
        <f>IF(B21="","",SUMIFS('June 2026 Expenses'!C:C, 'June 2026 Expenses'!A:A, "&gt;="&amp;DATEVALUE(B21), 'June 2026 Expenses'!A:A, "&lt;="&amp;EOMONTH(DATEVALUE(B21), 0)))</f>
        <v>0</v>
      </c>
      <c r="F21" s="177">
        <f t="shared" si="2"/>
        <v>25672</v>
      </c>
      <c r="G21" s="88" t="s">
        <v>343</v>
      </c>
      <c r="H21" s="89">
        <v>26494.0</v>
      </c>
      <c r="I21" s="89">
        <v>11839.0</v>
      </c>
      <c r="J21" s="89">
        <v>15250.0</v>
      </c>
      <c r="K21" s="98"/>
      <c r="L21" s="179"/>
      <c r="M21" s="179"/>
      <c r="N21" s="179"/>
      <c r="O21" s="98"/>
      <c r="P21" s="89">
        <v>2600.0</v>
      </c>
      <c r="Q21" s="89">
        <v>2680.0</v>
      </c>
      <c r="R21" s="89">
        <v>5390.0</v>
      </c>
      <c r="S21" s="178">
        <v>3235.0</v>
      </c>
      <c r="T21" s="179"/>
      <c r="U21" s="89">
        <v>5920.0</v>
      </c>
      <c r="V21" s="89">
        <v>5920.0</v>
      </c>
      <c r="W21" s="89">
        <v>5000.0</v>
      </c>
      <c r="X21" s="120"/>
    </row>
    <row r="22" ht="15.75" customHeight="1">
      <c r="B22" s="109" t="s">
        <v>344</v>
      </c>
      <c r="C22" s="110">
        <f>Loans!$C$5</f>
        <v>110000</v>
      </c>
      <c r="D22" s="141">
        <f t="shared" si="1"/>
        <v>81093</v>
      </c>
      <c r="E22" s="141">
        <f>IF(B22="","",SUMIFS('June 2026 Expenses'!C:C, 'June 2026 Expenses'!A:A, "&gt;="&amp;DATEVALUE(B22), 'June 2026 Expenses'!A:A, "&lt;="&amp;EOMONTH(DATEVALUE(B22), 0)))</f>
        <v>0</v>
      </c>
      <c r="F22" s="149">
        <f t="shared" si="2"/>
        <v>28907</v>
      </c>
      <c r="G22" s="119"/>
      <c r="H22" s="120">
        <v>26494.0</v>
      </c>
      <c r="I22" s="120">
        <v>11839.0</v>
      </c>
      <c r="J22" s="120">
        <v>15250.0</v>
      </c>
      <c r="K22" s="98"/>
      <c r="L22" s="179"/>
      <c r="M22" s="179"/>
      <c r="N22" s="179"/>
      <c r="O22" s="98"/>
      <c r="P22" s="120">
        <v>2600.0</v>
      </c>
      <c r="Q22" s="120">
        <v>2680.0</v>
      </c>
      <c r="R22" s="120">
        <v>5390.0</v>
      </c>
      <c r="S22" s="179"/>
      <c r="T22" s="179"/>
      <c r="U22" s="120">
        <v>5920.0</v>
      </c>
      <c r="V22" s="120">
        <v>5920.0</v>
      </c>
      <c r="W22" s="120">
        <v>5000.0</v>
      </c>
      <c r="X22" s="120"/>
    </row>
    <row r="23" ht="15.75" customHeight="1">
      <c r="B23" s="63" t="s">
        <v>345</v>
      </c>
      <c r="C23" s="92">
        <f>Loans!$C$5</f>
        <v>110000</v>
      </c>
      <c r="D23" s="169">
        <f t="shared" si="1"/>
        <v>81093</v>
      </c>
      <c r="E23" s="169">
        <f>IF(B23="","",SUMIFS('June 2026 Expenses'!C:C, 'June 2026 Expenses'!A:A, "&gt;="&amp;DATEVALUE(B23), 'June 2026 Expenses'!A:A, "&lt;="&amp;EOMONTH(DATEVALUE(B23), 0)))</f>
        <v>0</v>
      </c>
      <c r="F23" s="173">
        <f t="shared" si="2"/>
        <v>28907</v>
      </c>
      <c r="G23" s="75"/>
      <c r="H23" s="78">
        <v>26494.0</v>
      </c>
      <c r="I23" s="78">
        <v>11839.0</v>
      </c>
      <c r="J23" s="78">
        <v>15250.0</v>
      </c>
      <c r="K23" s="98"/>
      <c r="L23" s="179"/>
      <c r="M23" s="179"/>
      <c r="N23" s="179"/>
      <c r="O23" s="98"/>
      <c r="P23" s="78">
        <v>2600.0</v>
      </c>
      <c r="Q23" s="78">
        <v>2680.0</v>
      </c>
      <c r="R23" s="78">
        <v>5390.0</v>
      </c>
      <c r="S23" s="179"/>
      <c r="T23" s="179"/>
      <c r="U23" s="78">
        <v>5920.0</v>
      </c>
      <c r="V23" s="78">
        <v>5920.0</v>
      </c>
      <c r="W23" s="78">
        <v>5000.0</v>
      </c>
      <c r="X23" s="120"/>
    </row>
    <row r="24" ht="15.75" customHeight="1">
      <c r="B24" s="186" t="s">
        <v>43</v>
      </c>
      <c r="C24" s="187">
        <f>Loans!$C$5</f>
        <v>110000</v>
      </c>
      <c r="D24" s="188">
        <f t="shared" si="1"/>
        <v>81093</v>
      </c>
      <c r="E24" s="188">
        <f>IF(B24="","",SUMIFS('June 2026 Expenses'!C:C, 'June 2026 Expenses'!A:A, "&gt;="&amp;DATEVALUE(B24), 'June 2026 Expenses'!A:A, "&lt;="&amp;EOMONTH(DATEVALUE(B24), 0)))</f>
        <v>0</v>
      </c>
      <c r="F24" s="189">
        <f t="shared" si="2"/>
        <v>28907</v>
      </c>
      <c r="G24" s="190" t="s">
        <v>346</v>
      </c>
      <c r="H24" s="191">
        <v>26494.0</v>
      </c>
      <c r="I24" s="178">
        <v>11839.0</v>
      </c>
      <c r="J24" s="191">
        <v>15250.0</v>
      </c>
      <c r="K24" s="98"/>
      <c r="L24" s="179"/>
      <c r="M24" s="179"/>
      <c r="N24" s="179"/>
      <c r="O24" s="98"/>
      <c r="P24" s="191">
        <v>2600.0</v>
      </c>
      <c r="Q24" s="191">
        <v>2680.0</v>
      </c>
      <c r="R24" s="178">
        <v>5390.0</v>
      </c>
      <c r="S24" s="179"/>
      <c r="T24" s="179"/>
      <c r="U24" s="191">
        <v>5920.0</v>
      </c>
      <c r="V24" s="191">
        <v>5920.0</v>
      </c>
      <c r="W24" s="191">
        <v>5000.0</v>
      </c>
      <c r="X24" s="120"/>
    </row>
    <row r="25" ht="15.75" customHeight="1">
      <c r="B25" s="63" t="s">
        <v>347</v>
      </c>
      <c r="C25" s="92">
        <f>Loans!$C$5</f>
        <v>110000</v>
      </c>
      <c r="D25" s="169">
        <f t="shared" si="1"/>
        <v>63864</v>
      </c>
      <c r="E25" s="169">
        <f>IF(B25="","",SUMIFS('June 2026 Expenses'!C:C, 'June 2026 Expenses'!A:A, "&gt;="&amp;DATEVALUE(B25), 'June 2026 Expenses'!A:A, "&lt;="&amp;EOMONTH(DATEVALUE(B25), 0)))</f>
        <v>0</v>
      </c>
      <c r="F25" s="173">
        <f t="shared" si="2"/>
        <v>46136</v>
      </c>
      <c r="G25" s="75"/>
      <c r="H25" s="78">
        <v>26494.0</v>
      </c>
      <c r="I25" s="179"/>
      <c r="J25" s="78">
        <v>15250.0</v>
      </c>
      <c r="K25" s="98"/>
      <c r="L25" s="179"/>
      <c r="M25" s="179"/>
      <c r="N25" s="179"/>
      <c r="O25" s="98"/>
      <c r="P25" s="78">
        <v>2600.0</v>
      </c>
      <c r="Q25" s="78">
        <v>2680.0</v>
      </c>
      <c r="R25" s="179"/>
      <c r="S25" s="179"/>
      <c r="T25" s="179"/>
      <c r="U25" s="78">
        <v>5920.0</v>
      </c>
      <c r="V25" s="78">
        <v>5920.0</v>
      </c>
      <c r="W25" s="78">
        <v>5000.0</v>
      </c>
      <c r="X25" s="120"/>
    </row>
    <row r="26" ht="15.75" customHeight="1">
      <c r="B26" s="86" t="s">
        <v>104</v>
      </c>
      <c r="C26" s="66">
        <f>Loans!$C$5</f>
        <v>110000</v>
      </c>
      <c r="D26" s="176">
        <f t="shared" si="1"/>
        <v>63864</v>
      </c>
      <c r="E26" s="176">
        <f>IF(B26="","",SUMIFS('June 2026 Expenses'!C:C, 'June 2026 Expenses'!A:A, "&gt;="&amp;DATEVALUE(B26), 'June 2026 Expenses'!A:A, "&lt;="&amp;EOMONTH(DATEVALUE(B26), 0)))</f>
        <v>0</v>
      </c>
      <c r="F26" s="177">
        <f t="shared" si="2"/>
        <v>46136</v>
      </c>
      <c r="G26" s="88" t="s">
        <v>348</v>
      </c>
      <c r="H26" s="89">
        <v>26494.0</v>
      </c>
      <c r="I26" s="179"/>
      <c r="J26" s="89">
        <v>15250.0</v>
      </c>
      <c r="K26" s="98"/>
      <c r="L26" s="179"/>
      <c r="M26" s="179"/>
      <c r="N26" s="179"/>
      <c r="O26" s="98"/>
      <c r="P26" s="178">
        <v>2600.0</v>
      </c>
      <c r="Q26" s="89">
        <v>2680.0</v>
      </c>
      <c r="R26" s="179"/>
      <c r="S26" s="179"/>
      <c r="T26" s="179"/>
      <c r="U26" s="89">
        <v>5920.0</v>
      </c>
      <c r="V26" s="89">
        <v>5920.0</v>
      </c>
      <c r="W26" s="89">
        <v>5000.0</v>
      </c>
      <c r="X26" s="120"/>
    </row>
    <row r="27" ht="15.75" customHeight="1">
      <c r="B27" s="86" t="s">
        <v>110</v>
      </c>
      <c r="C27" s="66">
        <f>Loans!$C$5</f>
        <v>110000</v>
      </c>
      <c r="D27" s="176">
        <f t="shared" si="1"/>
        <v>61264</v>
      </c>
      <c r="E27" s="176">
        <f>IF(B27="","",SUMIFS('June 2026 Expenses'!C:C, 'June 2026 Expenses'!A:A, "&gt;="&amp;DATEVALUE(B27), 'June 2026 Expenses'!A:A, "&lt;="&amp;EOMONTH(DATEVALUE(B27), 0)))</f>
        <v>0</v>
      </c>
      <c r="F27" s="177">
        <f t="shared" si="2"/>
        <v>48736</v>
      </c>
      <c r="G27" s="88" t="s">
        <v>349</v>
      </c>
      <c r="H27" s="89">
        <v>26494.0</v>
      </c>
      <c r="I27" s="179"/>
      <c r="J27" s="89">
        <v>15250.0</v>
      </c>
      <c r="K27" s="98"/>
      <c r="L27" s="179"/>
      <c r="M27" s="179"/>
      <c r="N27" s="179"/>
      <c r="O27" s="98"/>
      <c r="P27" s="179"/>
      <c r="Q27" s="178">
        <v>2680.0</v>
      </c>
      <c r="R27" s="179"/>
      <c r="S27" s="179"/>
      <c r="T27" s="179"/>
      <c r="U27" s="89">
        <v>5920.0</v>
      </c>
      <c r="V27" s="89">
        <v>5920.0</v>
      </c>
      <c r="W27" s="89">
        <v>5000.0</v>
      </c>
      <c r="X27" s="120"/>
    </row>
    <row r="28" ht="15.75" customHeight="1">
      <c r="B28" s="109" t="s">
        <v>350</v>
      </c>
      <c r="C28" s="110">
        <f>Loans!$C$5</f>
        <v>110000</v>
      </c>
      <c r="D28" s="141">
        <f t="shared" si="1"/>
        <v>58584</v>
      </c>
      <c r="E28" s="141">
        <f>IF(B28="","",SUMIFS('June 2026 Expenses'!C:C, 'June 2026 Expenses'!A:A, "&gt;="&amp;DATEVALUE(B28), 'June 2026 Expenses'!A:A, "&lt;="&amp;EOMONTH(DATEVALUE(B28), 0)))</f>
        <v>0</v>
      </c>
      <c r="F28" s="149">
        <f t="shared" si="2"/>
        <v>51416</v>
      </c>
      <c r="G28" s="119"/>
      <c r="H28" s="120">
        <v>26494.0</v>
      </c>
      <c r="I28" s="179"/>
      <c r="J28" s="120">
        <v>15250.0</v>
      </c>
      <c r="K28" s="98"/>
      <c r="L28" s="179"/>
      <c r="M28" s="179"/>
      <c r="N28" s="179"/>
      <c r="O28" s="98"/>
      <c r="P28" s="179"/>
      <c r="Q28" s="179"/>
      <c r="R28" s="179"/>
      <c r="S28" s="179"/>
      <c r="T28" s="179"/>
      <c r="U28" s="120">
        <v>5920.0</v>
      </c>
      <c r="V28" s="120">
        <v>5920.0</v>
      </c>
      <c r="W28" s="120">
        <v>5000.0</v>
      </c>
      <c r="X28" s="120"/>
    </row>
    <row r="29" ht="15.75" customHeight="1">
      <c r="B29" s="86" t="s">
        <v>120</v>
      </c>
      <c r="C29" s="66">
        <f>Loans!$C$5</f>
        <v>110000</v>
      </c>
      <c r="D29" s="176">
        <f t="shared" si="1"/>
        <v>58584</v>
      </c>
      <c r="E29" s="176">
        <f>IF(B29="","",SUMIFS('June 2026 Expenses'!C:C, 'June 2026 Expenses'!A:A, "&gt;="&amp;DATEVALUE(B29), 'June 2026 Expenses'!A:A, "&lt;="&amp;EOMONTH(DATEVALUE(B29), 0)))</f>
        <v>0</v>
      </c>
      <c r="F29" s="177">
        <f t="shared" si="2"/>
        <v>51416</v>
      </c>
      <c r="G29" s="88" t="s">
        <v>351</v>
      </c>
      <c r="H29" s="89">
        <v>26494.0</v>
      </c>
      <c r="I29" s="179"/>
      <c r="J29" s="89">
        <v>15250.0</v>
      </c>
      <c r="K29" s="98"/>
      <c r="L29" s="179"/>
      <c r="M29" s="179"/>
      <c r="N29" s="179"/>
      <c r="O29" s="98"/>
      <c r="P29" s="179"/>
      <c r="Q29" s="179"/>
      <c r="R29" s="179"/>
      <c r="S29" s="179"/>
      <c r="T29" s="179"/>
      <c r="U29" s="178">
        <v>5920.0</v>
      </c>
      <c r="V29" s="178">
        <v>5920.0</v>
      </c>
      <c r="W29" s="89">
        <v>5000.0</v>
      </c>
      <c r="X29" s="120"/>
    </row>
    <row r="30" ht="15.75" customHeight="1">
      <c r="B30" s="109" t="s">
        <v>352</v>
      </c>
      <c r="C30" s="110">
        <f>Loans!$C$5</f>
        <v>110000</v>
      </c>
      <c r="D30" s="141">
        <f t="shared" si="1"/>
        <v>46744</v>
      </c>
      <c r="E30" s="141">
        <f>IF(B30="","",SUMIFS('June 2026 Expenses'!C:C, 'June 2026 Expenses'!A:A, "&gt;="&amp;DATEVALUE(B30), 'June 2026 Expenses'!A:A, "&lt;="&amp;EOMONTH(DATEVALUE(B30), 0)))</f>
        <v>0</v>
      </c>
      <c r="F30" s="149">
        <f t="shared" si="2"/>
        <v>63256</v>
      </c>
      <c r="G30" s="119"/>
      <c r="H30" s="120">
        <v>26494.0</v>
      </c>
      <c r="I30" s="179"/>
      <c r="J30" s="120">
        <v>15250.0</v>
      </c>
      <c r="K30" s="98"/>
      <c r="L30" s="179"/>
      <c r="M30" s="179"/>
      <c r="N30" s="179"/>
      <c r="O30" s="98"/>
      <c r="P30" s="179"/>
      <c r="Q30" s="179"/>
      <c r="R30" s="179"/>
      <c r="S30" s="179"/>
      <c r="T30" s="179"/>
      <c r="U30" s="179"/>
      <c r="V30" s="179"/>
      <c r="W30" s="120">
        <v>5000.0</v>
      </c>
      <c r="X30" s="120"/>
    </row>
    <row r="31" ht="15.75" customHeight="1">
      <c r="B31" s="63" t="s">
        <v>353</v>
      </c>
      <c r="C31" s="92">
        <f>Loans!$C$5</f>
        <v>110000</v>
      </c>
      <c r="D31" s="169">
        <f t="shared" si="1"/>
        <v>46744</v>
      </c>
      <c r="E31" s="169">
        <f>IF(B31="","",SUMIFS('June 2026 Expenses'!C:C, 'June 2026 Expenses'!A:A, "&gt;="&amp;DATEVALUE(B31), 'June 2026 Expenses'!A:A, "&lt;="&amp;EOMONTH(DATEVALUE(B31), 0)))</f>
        <v>0</v>
      </c>
      <c r="F31" s="173">
        <f t="shared" si="2"/>
        <v>63256</v>
      </c>
      <c r="G31" s="75"/>
      <c r="H31" s="78">
        <v>26494.0</v>
      </c>
      <c r="I31" s="179"/>
      <c r="J31" s="78">
        <v>15250.0</v>
      </c>
      <c r="K31" s="98"/>
      <c r="L31" s="179"/>
      <c r="M31" s="179"/>
      <c r="N31" s="179"/>
      <c r="O31" s="98"/>
      <c r="P31" s="179"/>
      <c r="Q31" s="179"/>
      <c r="R31" s="179"/>
      <c r="S31" s="179"/>
      <c r="T31" s="179"/>
      <c r="U31" s="179"/>
      <c r="V31" s="179"/>
      <c r="W31" s="78">
        <v>5000.0</v>
      </c>
      <c r="X31" s="120"/>
    </row>
    <row r="32" ht="15.75" customHeight="1">
      <c r="B32" s="109" t="s">
        <v>354</v>
      </c>
      <c r="C32" s="110">
        <f>Loans!$C$5</f>
        <v>110000</v>
      </c>
      <c r="D32" s="141">
        <f t="shared" si="1"/>
        <v>46744</v>
      </c>
      <c r="E32" s="141">
        <f>IF(B32="","",SUMIFS('June 2026 Expenses'!C:C, 'June 2026 Expenses'!A:A, "&gt;="&amp;DATEVALUE(B32), 'June 2026 Expenses'!A:A, "&lt;="&amp;EOMONTH(DATEVALUE(B32), 0)))</f>
        <v>0</v>
      </c>
      <c r="F32" s="149">
        <f t="shared" si="2"/>
        <v>63256</v>
      </c>
      <c r="G32" s="119"/>
      <c r="H32" s="120">
        <v>26494.0</v>
      </c>
      <c r="I32" s="179"/>
      <c r="J32" s="120">
        <v>15250.0</v>
      </c>
      <c r="K32" s="98"/>
      <c r="L32" s="179"/>
      <c r="M32" s="179"/>
      <c r="N32" s="179"/>
      <c r="O32" s="98"/>
      <c r="P32" s="179"/>
      <c r="Q32" s="179"/>
      <c r="R32" s="179"/>
      <c r="S32" s="179"/>
      <c r="T32" s="179"/>
      <c r="U32" s="179"/>
      <c r="V32" s="179"/>
      <c r="W32" s="120">
        <v>5000.0</v>
      </c>
      <c r="X32" s="120"/>
    </row>
    <row r="33" ht="15.75" customHeight="1">
      <c r="B33" s="63" t="s">
        <v>355</v>
      </c>
      <c r="C33" s="92">
        <f>Loans!$C$5</f>
        <v>110000</v>
      </c>
      <c r="D33" s="169">
        <f t="shared" si="1"/>
        <v>46744</v>
      </c>
      <c r="E33" s="169">
        <f>IF(B33="","",SUMIFS('June 2026 Expenses'!C:C, 'June 2026 Expenses'!A:A, "&gt;="&amp;DATEVALUE(B33), 'June 2026 Expenses'!A:A, "&lt;="&amp;EOMONTH(DATEVALUE(B33), 0)))</f>
        <v>0</v>
      </c>
      <c r="F33" s="173">
        <f t="shared" si="2"/>
        <v>63256</v>
      </c>
      <c r="G33" s="75"/>
      <c r="H33" s="78">
        <v>26494.0</v>
      </c>
      <c r="I33" s="179"/>
      <c r="J33" s="78">
        <v>15250.0</v>
      </c>
      <c r="K33" s="98"/>
      <c r="L33" s="179"/>
      <c r="M33" s="179"/>
      <c r="N33" s="179"/>
      <c r="O33" s="98"/>
      <c r="P33" s="179"/>
      <c r="Q33" s="179"/>
      <c r="R33" s="179"/>
      <c r="S33" s="179"/>
      <c r="T33" s="179"/>
      <c r="U33" s="179"/>
      <c r="V33" s="179"/>
      <c r="W33" s="78">
        <v>5000.0</v>
      </c>
      <c r="X33" s="120"/>
    </row>
    <row r="34" ht="15.75" customHeight="1">
      <c r="B34" s="109" t="s">
        <v>356</v>
      </c>
      <c r="C34" s="110">
        <f>Loans!$C$5</f>
        <v>110000</v>
      </c>
      <c r="D34" s="141">
        <f t="shared" si="1"/>
        <v>46744</v>
      </c>
      <c r="E34" s="141">
        <f>IF(B34="","",SUMIFS('June 2026 Expenses'!C:C, 'June 2026 Expenses'!A:A, "&gt;="&amp;DATEVALUE(B34), 'June 2026 Expenses'!A:A, "&lt;="&amp;EOMONTH(DATEVALUE(B34), 0)))</f>
        <v>0</v>
      </c>
      <c r="F34" s="149">
        <f t="shared" si="2"/>
        <v>63256</v>
      </c>
      <c r="G34" s="119"/>
      <c r="H34" s="120">
        <v>26494.0</v>
      </c>
      <c r="I34" s="179"/>
      <c r="J34" s="120">
        <v>15250.0</v>
      </c>
      <c r="K34" s="98"/>
      <c r="L34" s="179"/>
      <c r="M34" s="179"/>
      <c r="N34" s="179"/>
      <c r="O34" s="98"/>
      <c r="P34" s="179"/>
      <c r="Q34" s="179"/>
      <c r="R34" s="179"/>
      <c r="S34" s="179"/>
      <c r="T34" s="179"/>
      <c r="U34" s="179"/>
      <c r="V34" s="179"/>
      <c r="W34" s="120">
        <v>5000.0</v>
      </c>
      <c r="X34" s="120"/>
    </row>
    <row r="35" ht="15.75" customHeight="1">
      <c r="B35" s="86" t="s">
        <v>123</v>
      </c>
      <c r="C35" s="66">
        <f>Loans!$C$5</f>
        <v>110000</v>
      </c>
      <c r="D35" s="176">
        <f t="shared" si="1"/>
        <v>46744</v>
      </c>
      <c r="E35" s="176">
        <f>IF(B35="","",SUMIFS('June 2026 Expenses'!C:C, 'June 2026 Expenses'!A:A, "&gt;="&amp;DATEVALUE(B35), 'June 2026 Expenses'!A:A, "&lt;="&amp;EOMONTH(DATEVALUE(B35), 0)))</f>
        <v>0</v>
      </c>
      <c r="F35" s="177">
        <f t="shared" si="2"/>
        <v>63256</v>
      </c>
      <c r="G35" s="88" t="s">
        <v>357</v>
      </c>
      <c r="H35" s="89">
        <v>26494.0</v>
      </c>
      <c r="I35" s="179"/>
      <c r="J35" s="89">
        <v>15250.0</v>
      </c>
      <c r="K35" s="98"/>
      <c r="L35" s="179"/>
      <c r="M35" s="179"/>
      <c r="N35" s="179"/>
      <c r="O35" s="98"/>
      <c r="P35" s="179"/>
      <c r="Q35" s="179"/>
      <c r="R35" s="179"/>
      <c r="S35" s="179"/>
      <c r="T35" s="179"/>
      <c r="U35" s="179"/>
      <c r="V35" s="179"/>
      <c r="W35" s="178">
        <v>5000.0</v>
      </c>
      <c r="X35" s="120"/>
    </row>
    <row r="36" ht="15.75" customHeight="1">
      <c r="B36" s="109" t="s">
        <v>358</v>
      </c>
      <c r="C36" s="110">
        <f>Loans!$C$5</f>
        <v>110000</v>
      </c>
      <c r="D36" s="141">
        <f t="shared" si="1"/>
        <v>41744</v>
      </c>
      <c r="E36" s="141">
        <f>IF(B36="","",SUMIFS('June 2026 Expenses'!C:C, 'June 2026 Expenses'!A:A, "&gt;="&amp;DATEVALUE(B36), 'June 2026 Expenses'!A:A, "&lt;="&amp;EOMONTH(DATEVALUE(B36), 0)))</f>
        <v>0</v>
      </c>
      <c r="F36" s="149">
        <f t="shared" si="2"/>
        <v>68256</v>
      </c>
      <c r="G36" s="119"/>
      <c r="H36" s="120">
        <v>26494.0</v>
      </c>
      <c r="I36" s="179"/>
      <c r="J36" s="120">
        <v>15250.0</v>
      </c>
      <c r="K36" s="98"/>
      <c r="L36" s="179"/>
      <c r="M36" s="179"/>
      <c r="N36" s="179"/>
      <c r="O36" s="98"/>
      <c r="P36" s="179"/>
      <c r="Q36" s="179"/>
      <c r="R36" s="179"/>
      <c r="S36" s="179"/>
      <c r="T36" s="179"/>
      <c r="U36" s="179"/>
      <c r="V36" s="179"/>
      <c r="W36" s="179"/>
      <c r="X36" s="179"/>
    </row>
    <row r="37" ht="15.75" customHeight="1">
      <c r="B37" s="63" t="s">
        <v>359</v>
      </c>
      <c r="C37" s="92">
        <f>Loans!$C$5</f>
        <v>110000</v>
      </c>
      <c r="D37" s="169">
        <f t="shared" si="1"/>
        <v>41744</v>
      </c>
      <c r="E37" s="169">
        <f>IF(B37="","",SUMIFS('June 2026 Expenses'!C:C, 'June 2026 Expenses'!A:A, "&gt;="&amp;DATEVALUE(B37), 'June 2026 Expenses'!A:A, "&lt;="&amp;EOMONTH(DATEVALUE(B37), 0)))</f>
        <v>0</v>
      </c>
      <c r="F37" s="173">
        <f t="shared" si="2"/>
        <v>68256</v>
      </c>
      <c r="G37" s="75"/>
      <c r="H37" s="78">
        <v>26494.0</v>
      </c>
      <c r="I37" s="179"/>
      <c r="J37" s="78">
        <v>15250.0</v>
      </c>
      <c r="K37" s="98"/>
      <c r="L37" s="179"/>
      <c r="M37" s="179"/>
      <c r="N37" s="179"/>
      <c r="O37" s="98"/>
      <c r="P37" s="179"/>
      <c r="Q37" s="179"/>
      <c r="R37" s="179"/>
      <c r="S37" s="179"/>
      <c r="T37" s="179"/>
      <c r="U37" s="179"/>
      <c r="V37" s="179"/>
      <c r="W37" s="179"/>
      <c r="X37" s="179"/>
    </row>
    <row r="38" ht="15.75" customHeight="1">
      <c r="B38" s="109" t="s">
        <v>360</v>
      </c>
      <c r="C38" s="110">
        <f>Loans!$C$5</f>
        <v>110000</v>
      </c>
      <c r="D38" s="141">
        <f t="shared" si="1"/>
        <v>41744</v>
      </c>
      <c r="E38" s="141">
        <f>IF(B38="","",SUMIFS('June 2026 Expenses'!C:C, 'June 2026 Expenses'!A:A, "&gt;="&amp;DATEVALUE(B38), 'June 2026 Expenses'!A:A, "&lt;="&amp;EOMONTH(DATEVALUE(B38), 0)))</f>
        <v>0</v>
      </c>
      <c r="F38" s="149">
        <f t="shared" si="2"/>
        <v>68256</v>
      </c>
      <c r="G38" s="119"/>
      <c r="H38" s="120">
        <v>26494.0</v>
      </c>
      <c r="I38" s="179"/>
      <c r="J38" s="120">
        <v>15250.0</v>
      </c>
      <c r="K38" s="98"/>
      <c r="L38" s="179"/>
      <c r="M38" s="179"/>
      <c r="N38" s="179"/>
      <c r="O38" s="98"/>
      <c r="P38" s="179"/>
      <c r="Q38" s="179"/>
      <c r="R38" s="179"/>
      <c r="S38" s="179"/>
      <c r="T38" s="179"/>
      <c r="U38" s="179"/>
      <c r="V38" s="179"/>
      <c r="W38" s="179"/>
      <c r="X38" s="179"/>
    </row>
    <row r="39" ht="15.75" customHeight="1">
      <c r="B39" s="63" t="s">
        <v>361</v>
      </c>
      <c r="C39" s="92">
        <f>Loans!$C$5</f>
        <v>110000</v>
      </c>
      <c r="D39" s="169">
        <f t="shared" si="1"/>
        <v>41744</v>
      </c>
      <c r="E39" s="169">
        <f>IF(B39="","",SUMIFS('June 2026 Expenses'!C:C, 'June 2026 Expenses'!A:A, "&gt;="&amp;DATEVALUE(B39), 'June 2026 Expenses'!A:A, "&lt;="&amp;EOMONTH(DATEVALUE(B39), 0)))</f>
        <v>0</v>
      </c>
      <c r="F39" s="173">
        <f t="shared" si="2"/>
        <v>68256</v>
      </c>
      <c r="G39" s="75"/>
      <c r="H39" s="78">
        <v>26494.0</v>
      </c>
      <c r="I39" s="179"/>
      <c r="J39" s="78">
        <v>15250.0</v>
      </c>
      <c r="K39" s="98"/>
      <c r="L39" s="179"/>
      <c r="M39" s="179"/>
      <c r="N39" s="179"/>
      <c r="O39" s="98"/>
      <c r="P39" s="179"/>
      <c r="Q39" s="179"/>
      <c r="R39" s="179"/>
      <c r="S39" s="179"/>
      <c r="T39" s="179"/>
      <c r="U39" s="179"/>
      <c r="V39" s="179"/>
      <c r="W39" s="179"/>
      <c r="X39" s="179"/>
    </row>
    <row r="40" ht="15.75" customHeight="1">
      <c r="B40" s="109" t="s">
        <v>362</v>
      </c>
      <c r="C40" s="110">
        <f>Loans!$C$5</f>
        <v>110000</v>
      </c>
      <c r="D40" s="141">
        <f t="shared" si="1"/>
        <v>41744</v>
      </c>
      <c r="E40" s="141">
        <f>IF(B40="","",SUMIFS('June 2026 Expenses'!C:C, 'June 2026 Expenses'!A:A, "&gt;="&amp;DATEVALUE(B40), 'June 2026 Expenses'!A:A, "&lt;="&amp;EOMONTH(DATEVALUE(B40), 0)))</f>
        <v>0</v>
      </c>
      <c r="F40" s="149">
        <f t="shared" si="2"/>
        <v>68256</v>
      </c>
      <c r="G40" s="119"/>
      <c r="H40" s="120">
        <v>26494.0</v>
      </c>
      <c r="I40" s="179"/>
      <c r="J40" s="120">
        <v>15250.0</v>
      </c>
      <c r="K40" s="98"/>
      <c r="L40" s="179"/>
      <c r="M40" s="179"/>
      <c r="N40" s="179"/>
      <c r="O40" s="98"/>
      <c r="P40" s="179"/>
      <c r="Q40" s="179"/>
      <c r="R40" s="179"/>
      <c r="S40" s="179"/>
      <c r="T40" s="179"/>
      <c r="U40" s="179"/>
      <c r="V40" s="179"/>
      <c r="W40" s="179"/>
      <c r="X40" s="179"/>
    </row>
    <row r="41" ht="15.75" customHeight="1">
      <c r="B41" s="63" t="s">
        <v>215</v>
      </c>
      <c r="C41" s="92">
        <f>Loans!$C$5</f>
        <v>110000</v>
      </c>
      <c r="D41" s="169">
        <f t="shared" si="1"/>
        <v>41744</v>
      </c>
      <c r="E41" s="169">
        <f>IF(B41="","",SUMIFS('June 2026 Expenses'!C:C, 'June 2026 Expenses'!A:A, "&gt;="&amp;DATEVALUE(B41), 'June 2026 Expenses'!A:A, "&lt;="&amp;EOMONTH(DATEVALUE(B41), 0)))</f>
        <v>0</v>
      </c>
      <c r="F41" s="173">
        <f t="shared" si="2"/>
        <v>68256</v>
      </c>
      <c r="G41" s="192" t="s">
        <v>363</v>
      </c>
      <c r="H41" s="78">
        <v>26494.0</v>
      </c>
      <c r="I41" s="179"/>
      <c r="J41" s="78">
        <v>15250.0</v>
      </c>
      <c r="K41" s="98"/>
      <c r="L41" s="179"/>
      <c r="M41" s="179"/>
      <c r="N41" s="179"/>
      <c r="O41" s="98"/>
      <c r="P41" s="179"/>
      <c r="Q41" s="179"/>
      <c r="R41" s="179"/>
      <c r="S41" s="179"/>
      <c r="T41" s="179"/>
      <c r="U41" s="179"/>
      <c r="V41" s="179"/>
      <c r="W41" s="179"/>
      <c r="X41" s="179"/>
    </row>
    <row r="42" ht="15.75" customHeight="1">
      <c r="B42" s="109" t="s">
        <v>364</v>
      </c>
      <c r="C42" s="110">
        <f>Loans!$C$5</f>
        <v>110000</v>
      </c>
      <c r="D42" s="141">
        <f t="shared" si="1"/>
        <v>41744</v>
      </c>
      <c r="E42" s="141">
        <f>IF(B42="","",SUMIFS('June 2026 Expenses'!C:C, 'June 2026 Expenses'!A:A, "&gt;="&amp;DATEVALUE(B42), 'June 2026 Expenses'!A:A, "&lt;="&amp;EOMONTH(DATEVALUE(B42), 0)))</f>
        <v>0</v>
      </c>
      <c r="F42" s="149">
        <f t="shared" si="2"/>
        <v>68256</v>
      </c>
      <c r="G42" s="119"/>
      <c r="H42" s="120">
        <v>26494.0</v>
      </c>
      <c r="I42" s="179"/>
      <c r="J42" s="120">
        <v>15250.0</v>
      </c>
      <c r="K42" s="98"/>
      <c r="L42" s="179"/>
      <c r="M42" s="179"/>
      <c r="N42" s="179"/>
      <c r="O42" s="98"/>
      <c r="P42" s="179"/>
      <c r="Q42" s="179"/>
      <c r="R42" s="179"/>
      <c r="S42" s="179"/>
      <c r="T42" s="179"/>
      <c r="U42" s="179"/>
      <c r="V42" s="179"/>
      <c r="W42" s="179"/>
      <c r="X42" s="179"/>
    </row>
    <row r="43" ht="15.75" customHeight="1">
      <c r="B43" s="63" t="s">
        <v>365</v>
      </c>
      <c r="C43" s="92">
        <f>Loans!$C$5</f>
        <v>110000</v>
      </c>
      <c r="D43" s="169">
        <f t="shared" si="1"/>
        <v>41744</v>
      </c>
      <c r="E43" s="169">
        <f>IF(B43="","",SUMIFS('June 2026 Expenses'!C:C, 'June 2026 Expenses'!A:A, "&gt;="&amp;DATEVALUE(B43), 'June 2026 Expenses'!A:A, "&lt;="&amp;EOMONTH(DATEVALUE(B43), 0)))</f>
        <v>0</v>
      </c>
      <c r="F43" s="173">
        <f t="shared" si="2"/>
        <v>68256</v>
      </c>
      <c r="G43" s="75"/>
      <c r="H43" s="78">
        <v>26494.0</v>
      </c>
      <c r="I43" s="179"/>
      <c r="J43" s="78">
        <v>15250.0</v>
      </c>
      <c r="K43" s="98"/>
      <c r="L43" s="179"/>
      <c r="M43" s="179"/>
      <c r="N43" s="179"/>
      <c r="O43" s="98"/>
      <c r="P43" s="179"/>
      <c r="Q43" s="179"/>
      <c r="R43" s="179"/>
      <c r="S43" s="179"/>
      <c r="T43" s="179"/>
      <c r="U43" s="179"/>
      <c r="V43" s="179"/>
      <c r="W43" s="179"/>
      <c r="X43" s="179"/>
    </row>
    <row r="44" ht="15.75" customHeight="1">
      <c r="B44" s="109" t="s">
        <v>366</v>
      </c>
      <c r="C44" s="110">
        <f>Loans!$C$5</f>
        <v>110000</v>
      </c>
      <c r="D44" s="141">
        <f t="shared" si="1"/>
        <v>41744</v>
      </c>
      <c r="E44" s="141">
        <f>IF(B44="","",SUMIFS('June 2026 Expenses'!C:C, 'June 2026 Expenses'!A:A, "&gt;="&amp;DATEVALUE(B44), 'June 2026 Expenses'!A:A, "&lt;="&amp;EOMONTH(DATEVALUE(B44), 0)))</f>
        <v>0</v>
      </c>
      <c r="F44" s="149">
        <f t="shared" si="2"/>
        <v>68256</v>
      </c>
      <c r="G44" s="119"/>
      <c r="H44" s="120">
        <v>26494.0</v>
      </c>
      <c r="I44" s="179"/>
      <c r="J44" s="120">
        <v>15250.0</v>
      </c>
      <c r="K44" s="98"/>
      <c r="L44" s="179"/>
      <c r="M44" s="179"/>
      <c r="N44" s="179"/>
      <c r="O44" s="98"/>
      <c r="P44" s="179"/>
      <c r="Q44" s="179"/>
      <c r="R44" s="179"/>
      <c r="S44" s="179"/>
      <c r="T44" s="179"/>
      <c r="U44" s="179"/>
      <c r="V44" s="179"/>
      <c r="W44" s="179"/>
      <c r="X44" s="179"/>
    </row>
    <row r="45" ht="15.75" customHeight="1">
      <c r="B45" s="63" t="s">
        <v>367</v>
      </c>
      <c r="C45" s="92">
        <f>Loans!$C$5</f>
        <v>110000</v>
      </c>
      <c r="D45" s="169">
        <f t="shared" si="1"/>
        <v>41744</v>
      </c>
      <c r="E45" s="169">
        <f>IF(B45="","",SUMIFS('June 2026 Expenses'!C:C, 'June 2026 Expenses'!A:A, "&gt;="&amp;DATEVALUE(B45), 'June 2026 Expenses'!A:A, "&lt;="&amp;EOMONTH(DATEVALUE(B45), 0)))</f>
        <v>0</v>
      </c>
      <c r="F45" s="173">
        <f t="shared" si="2"/>
        <v>68256</v>
      </c>
      <c r="G45" s="75"/>
      <c r="H45" s="78">
        <v>26494.0</v>
      </c>
      <c r="I45" s="179"/>
      <c r="J45" s="78">
        <v>15250.0</v>
      </c>
      <c r="K45" s="98"/>
      <c r="L45" s="179"/>
      <c r="M45" s="179"/>
      <c r="N45" s="179"/>
      <c r="O45" s="98"/>
      <c r="P45" s="179"/>
      <c r="Q45" s="179"/>
      <c r="R45" s="179"/>
      <c r="S45" s="179"/>
      <c r="T45" s="179"/>
      <c r="U45" s="179"/>
      <c r="V45" s="179"/>
      <c r="W45" s="179"/>
      <c r="X45" s="179"/>
    </row>
    <row r="46" ht="15.75" customHeight="1">
      <c r="B46" s="109" t="s">
        <v>368</v>
      </c>
      <c r="C46" s="110">
        <f>Loans!$C$5</f>
        <v>110000</v>
      </c>
      <c r="D46" s="141">
        <f t="shared" si="1"/>
        <v>41744</v>
      </c>
      <c r="E46" s="141">
        <f>IF(B46="","",SUMIFS('June 2026 Expenses'!C:C, 'June 2026 Expenses'!A:A, "&gt;="&amp;DATEVALUE(B46), 'June 2026 Expenses'!A:A, "&lt;="&amp;EOMONTH(DATEVALUE(B46), 0)))</f>
        <v>0</v>
      </c>
      <c r="F46" s="149">
        <f t="shared" si="2"/>
        <v>68256</v>
      </c>
      <c r="G46" s="119"/>
      <c r="H46" s="120">
        <v>26494.0</v>
      </c>
      <c r="I46" s="179"/>
      <c r="J46" s="120">
        <v>15250.0</v>
      </c>
      <c r="K46" s="98"/>
      <c r="L46" s="179"/>
      <c r="M46" s="179"/>
      <c r="N46" s="179"/>
      <c r="O46" s="98"/>
      <c r="P46" s="179"/>
      <c r="Q46" s="179"/>
      <c r="R46" s="179"/>
      <c r="S46" s="179"/>
      <c r="T46" s="179"/>
      <c r="U46" s="179"/>
      <c r="V46" s="179"/>
      <c r="W46" s="179"/>
      <c r="X46" s="179"/>
    </row>
    <row r="47" ht="15.75" customHeight="1">
      <c r="B47" s="63" t="s">
        <v>369</v>
      </c>
      <c r="C47" s="92">
        <f>Loans!$C$5</f>
        <v>110000</v>
      </c>
      <c r="D47" s="169">
        <f t="shared" si="1"/>
        <v>41744</v>
      </c>
      <c r="E47" s="169">
        <f>IF(B47="","",SUMIFS('June 2026 Expenses'!C:C, 'June 2026 Expenses'!A:A, "&gt;="&amp;DATEVALUE(B47), 'June 2026 Expenses'!A:A, "&lt;="&amp;EOMONTH(DATEVALUE(B47), 0)))</f>
        <v>0</v>
      </c>
      <c r="F47" s="173">
        <f t="shared" si="2"/>
        <v>68256</v>
      </c>
      <c r="G47" s="75"/>
      <c r="H47" s="78">
        <v>26494.0</v>
      </c>
      <c r="I47" s="179"/>
      <c r="J47" s="78">
        <v>15250.0</v>
      </c>
      <c r="K47" s="98"/>
      <c r="L47" s="179"/>
      <c r="M47" s="179"/>
      <c r="N47" s="179"/>
      <c r="O47" s="98"/>
      <c r="P47" s="179"/>
      <c r="Q47" s="179"/>
      <c r="R47" s="179"/>
      <c r="S47" s="179"/>
      <c r="T47" s="179"/>
      <c r="U47" s="179"/>
      <c r="V47" s="179"/>
      <c r="W47" s="179"/>
      <c r="X47" s="179"/>
    </row>
    <row r="48" ht="15.75" customHeight="1">
      <c r="B48" s="109" t="s">
        <v>370</v>
      </c>
      <c r="C48" s="110">
        <f>Loans!$C$5</f>
        <v>110000</v>
      </c>
      <c r="D48" s="141">
        <f t="shared" si="1"/>
        <v>41744</v>
      </c>
      <c r="E48" s="141">
        <f>IF(B48="","",SUMIFS('June 2026 Expenses'!C:C, 'June 2026 Expenses'!A:A, "&gt;="&amp;DATEVALUE(B48), 'June 2026 Expenses'!A:A, "&lt;="&amp;EOMONTH(DATEVALUE(B48), 0)))</f>
        <v>0</v>
      </c>
      <c r="F48" s="149">
        <f t="shared" si="2"/>
        <v>68256</v>
      </c>
      <c r="G48" s="119"/>
      <c r="H48" s="120">
        <v>26494.0</v>
      </c>
      <c r="I48" s="179"/>
      <c r="J48" s="120">
        <v>15250.0</v>
      </c>
      <c r="K48" s="98"/>
      <c r="L48" s="179"/>
      <c r="M48" s="179"/>
      <c r="N48" s="179"/>
      <c r="O48" s="98"/>
      <c r="P48" s="179"/>
      <c r="Q48" s="179"/>
      <c r="R48" s="179"/>
      <c r="S48" s="179"/>
      <c r="T48" s="179"/>
      <c r="U48" s="179"/>
      <c r="V48" s="179"/>
      <c r="W48" s="179"/>
      <c r="X48" s="179"/>
    </row>
    <row r="49" ht="15.75" customHeight="1">
      <c r="B49" s="63" t="s">
        <v>371</v>
      </c>
      <c r="C49" s="92">
        <f>Loans!$C$5</f>
        <v>110000</v>
      </c>
      <c r="D49" s="169">
        <f t="shared" si="1"/>
        <v>41744</v>
      </c>
      <c r="E49" s="169">
        <f>IF(B49="","",SUMIFS('June 2026 Expenses'!C:C, 'June 2026 Expenses'!A:A, "&gt;="&amp;DATEVALUE(B49), 'June 2026 Expenses'!A:A, "&lt;="&amp;EOMONTH(DATEVALUE(B49), 0)))</f>
        <v>0</v>
      </c>
      <c r="F49" s="173">
        <f t="shared" si="2"/>
        <v>68256</v>
      </c>
      <c r="G49" s="75"/>
      <c r="H49" s="78">
        <v>26494.0</v>
      </c>
      <c r="I49" s="179"/>
      <c r="J49" s="78">
        <v>15250.0</v>
      </c>
      <c r="K49" s="98"/>
      <c r="L49" s="179"/>
      <c r="M49" s="179"/>
      <c r="N49" s="179"/>
      <c r="O49" s="98"/>
      <c r="P49" s="179"/>
      <c r="Q49" s="179"/>
      <c r="R49" s="179"/>
      <c r="S49" s="179"/>
      <c r="T49" s="179"/>
      <c r="U49" s="179"/>
      <c r="V49" s="179"/>
      <c r="W49" s="179"/>
      <c r="X49" s="179"/>
    </row>
    <row r="50" ht="15.75" customHeight="1">
      <c r="B50" s="109" t="s">
        <v>372</v>
      </c>
      <c r="C50" s="110">
        <f>Loans!$C$5</f>
        <v>110000</v>
      </c>
      <c r="D50" s="141">
        <f t="shared" si="1"/>
        <v>41744</v>
      </c>
      <c r="E50" s="141">
        <f>IF(B50="","",SUMIFS('June 2026 Expenses'!C:C, 'June 2026 Expenses'!A:A, "&gt;="&amp;DATEVALUE(B50), 'June 2026 Expenses'!A:A, "&lt;="&amp;EOMONTH(DATEVALUE(B50), 0)))</f>
        <v>0</v>
      </c>
      <c r="F50" s="149">
        <f t="shared" si="2"/>
        <v>68256</v>
      </c>
      <c r="G50" s="119"/>
      <c r="H50" s="120">
        <v>26494.0</v>
      </c>
      <c r="I50" s="179"/>
      <c r="J50" s="120">
        <v>15250.0</v>
      </c>
      <c r="K50" s="98"/>
      <c r="L50" s="179"/>
      <c r="M50" s="179"/>
      <c r="N50" s="179"/>
      <c r="O50" s="98"/>
      <c r="P50" s="179"/>
      <c r="Q50" s="179"/>
      <c r="R50" s="179"/>
      <c r="S50" s="179"/>
      <c r="T50" s="179"/>
      <c r="U50" s="179"/>
      <c r="V50" s="179"/>
      <c r="W50" s="179"/>
      <c r="X50" s="179"/>
    </row>
    <row r="51" ht="15.75" customHeight="1">
      <c r="B51" s="63" t="s">
        <v>373</v>
      </c>
      <c r="C51" s="92">
        <f>Loans!$C$5</f>
        <v>110000</v>
      </c>
      <c r="D51" s="169">
        <f t="shared" si="1"/>
        <v>41744</v>
      </c>
      <c r="E51" s="169">
        <f>IF(B51="","",SUMIFS('June 2026 Expenses'!C:C, 'June 2026 Expenses'!A:A, "&gt;="&amp;DATEVALUE(B51), 'June 2026 Expenses'!A:A, "&lt;="&amp;EOMONTH(DATEVALUE(B51), 0)))</f>
        <v>0</v>
      </c>
      <c r="F51" s="173">
        <f t="shared" si="2"/>
        <v>68256</v>
      </c>
      <c r="G51" s="75"/>
      <c r="H51" s="78">
        <v>26494.0</v>
      </c>
      <c r="I51" s="179"/>
      <c r="J51" s="78">
        <v>15250.0</v>
      </c>
      <c r="K51" s="98"/>
      <c r="L51" s="179"/>
      <c r="M51" s="179"/>
      <c r="N51" s="179"/>
      <c r="O51" s="98"/>
      <c r="P51" s="179"/>
      <c r="Q51" s="179"/>
      <c r="R51" s="179"/>
      <c r="S51" s="179"/>
      <c r="T51" s="179"/>
      <c r="U51" s="179"/>
      <c r="V51" s="179"/>
      <c r="W51" s="179"/>
      <c r="X51" s="179"/>
    </row>
    <row r="52" ht="15.75" customHeight="1">
      <c r="B52" s="109" t="s">
        <v>374</v>
      </c>
      <c r="C52" s="110">
        <f>Loans!$C$5</f>
        <v>110000</v>
      </c>
      <c r="D52" s="141">
        <f t="shared" si="1"/>
        <v>41744</v>
      </c>
      <c r="E52" s="141">
        <f>IF(B52="","",SUMIFS('June 2026 Expenses'!C:C, 'June 2026 Expenses'!A:A, "&gt;="&amp;DATEVALUE(B52), 'June 2026 Expenses'!A:A, "&lt;="&amp;EOMONTH(DATEVALUE(B52), 0)))</f>
        <v>0</v>
      </c>
      <c r="F52" s="149">
        <f t="shared" si="2"/>
        <v>68256</v>
      </c>
      <c r="G52" s="119"/>
      <c r="H52" s="120">
        <v>26494.0</v>
      </c>
      <c r="I52" s="179"/>
      <c r="J52" s="120">
        <v>15250.0</v>
      </c>
      <c r="K52" s="98"/>
      <c r="L52" s="179"/>
      <c r="M52" s="179"/>
      <c r="N52" s="179"/>
      <c r="O52" s="98"/>
      <c r="P52" s="179"/>
      <c r="Q52" s="179"/>
      <c r="R52" s="179"/>
      <c r="S52" s="179"/>
      <c r="T52" s="179"/>
      <c r="U52" s="179"/>
      <c r="V52" s="179"/>
      <c r="W52" s="179"/>
      <c r="X52" s="179"/>
    </row>
    <row r="53" ht="15.75" customHeight="1">
      <c r="B53" s="63" t="s">
        <v>375</v>
      </c>
      <c r="C53" s="92">
        <f>Loans!$C$5</f>
        <v>110000</v>
      </c>
      <c r="D53" s="169">
        <f t="shared" si="1"/>
        <v>41744</v>
      </c>
      <c r="E53" s="169">
        <f>IF(B53="","",SUMIFS('June 2026 Expenses'!C:C, 'June 2026 Expenses'!A:A, "&gt;="&amp;DATEVALUE(B53), 'June 2026 Expenses'!A:A, "&lt;="&amp;EOMONTH(DATEVALUE(B53), 0)))</f>
        <v>0</v>
      </c>
      <c r="F53" s="173">
        <f t="shared" si="2"/>
        <v>68256</v>
      </c>
      <c r="G53" s="75"/>
      <c r="H53" s="78">
        <v>26494.0</v>
      </c>
      <c r="I53" s="179"/>
      <c r="J53" s="78">
        <v>15250.0</v>
      </c>
      <c r="K53" s="98"/>
      <c r="L53" s="179"/>
      <c r="M53" s="179"/>
      <c r="N53" s="179"/>
      <c r="O53" s="98"/>
      <c r="P53" s="179"/>
      <c r="Q53" s="179"/>
      <c r="R53" s="179"/>
      <c r="S53" s="179"/>
      <c r="T53" s="179"/>
      <c r="U53" s="179"/>
      <c r="V53" s="179"/>
      <c r="W53" s="179"/>
      <c r="X53" s="179"/>
    </row>
    <row r="54" ht="15.75" customHeight="1">
      <c r="B54" s="109" t="s">
        <v>376</v>
      </c>
      <c r="C54" s="110">
        <f>Loans!$C$5</f>
        <v>110000</v>
      </c>
      <c r="D54" s="141">
        <f t="shared" si="1"/>
        <v>41744</v>
      </c>
      <c r="E54" s="141">
        <f>IF(B54="","",SUMIFS('June 2026 Expenses'!C:C, 'June 2026 Expenses'!A:A, "&gt;="&amp;DATEVALUE(B54), 'June 2026 Expenses'!A:A, "&lt;="&amp;EOMONTH(DATEVALUE(B54), 0)))</f>
        <v>0</v>
      </c>
      <c r="F54" s="149">
        <f t="shared" si="2"/>
        <v>68256</v>
      </c>
      <c r="G54" s="119"/>
      <c r="H54" s="120">
        <v>26494.0</v>
      </c>
      <c r="I54" s="179"/>
      <c r="J54" s="120">
        <v>15250.0</v>
      </c>
      <c r="K54" s="98"/>
      <c r="L54" s="179"/>
      <c r="M54" s="179"/>
      <c r="N54" s="179"/>
      <c r="O54" s="98"/>
      <c r="P54" s="179"/>
      <c r="Q54" s="179"/>
      <c r="R54" s="179"/>
      <c r="S54" s="179"/>
      <c r="T54" s="179"/>
      <c r="U54" s="179"/>
      <c r="V54" s="179"/>
      <c r="W54" s="179"/>
      <c r="X54" s="179"/>
    </row>
    <row r="55" ht="15.75" customHeight="1">
      <c r="B55" s="63" t="s">
        <v>377</v>
      </c>
      <c r="C55" s="92">
        <f>Loans!$C$5</f>
        <v>110000</v>
      </c>
      <c r="D55" s="169">
        <f t="shared" si="1"/>
        <v>41744</v>
      </c>
      <c r="E55" s="169">
        <f>IF(B55="","",SUMIFS('June 2026 Expenses'!C:C, 'June 2026 Expenses'!A:A, "&gt;="&amp;DATEVALUE(B55), 'June 2026 Expenses'!A:A, "&lt;="&amp;EOMONTH(DATEVALUE(B55), 0)))</f>
        <v>0</v>
      </c>
      <c r="F55" s="173">
        <f t="shared" si="2"/>
        <v>68256</v>
      </c>
      <c r="G55" s="75"/>
      <c r="H55" s="78">
        <v>26494.0</v>
      </c>
      <c r="I55" s="179"/>
      <c r="J55" s="78">
        <v>15250.0</v>
      </c>
      <c r="K55" s="98"/>
      <c r="L55" s="179"/>
      <c r="M55" s="179"/>
      <c r="N55" s="179"/>
      <c r="O55" s="98"/>
      <c r="P55" s="179"/>
      <c r="Q55" s="179"/>
      <c r="R55" s="179"/>
      <c r="S55" s="179"/>
      <c r="T55" s="179"/>
      <c r="U55" s="179"/>
      <c r="V55" s="179"/>
      <c r="W55" s="179"/>
      <c r="X55" s="179"/>
    </row>
    <row r="56" ht="15.75" customHeight="1">
      <c r="B56" s="109" t="s">
        <v>378</v>
      </c>
      <c r="C56" s="110">
        <f>Loans!$C$5</f>
        <v>110000</v>
      </c>
      <c r="D56" s="141">
        <f t="shared" si="1"/>
        <v>41744</v>
      </c>
      <c r="E56" s="141">
        <f>IF(B56="","",SUMIFS('June 2026 Expenses'!C:C, 'June 2026 Expenses'!A:A, "&gt;="&amp;DATEVALUE(B56), 'June 2026 Expenses'!A:A, "&lt;="&amp;EOMONTH(DATEVALUE(B56), 0)))</f>
        <v>0</v>
      </c>
      <c r="F56" s="149">
        <f t="shared" si="2"/>
        <v>68256</v>
      </c>
      <c r="G56" s="119"/>
      <c r="H56" s="120">
        <v>26494.0</v>
      </c>
      <c r="I56" s="179"/>
      <c r="J56" s="120">
        <v>15250.0</v>
      </c>
      <c r="K56" s="98"/>
      <c r="L56" s="179"/>
      <c r="M56" s="179"/>
      <c r="N56" s="179"/>
      <c r="O56" s="98"/>
      <c r="P56" s="179"/>
      <c r="Q56" s="179"/>
      <c r="R56" s="179"/>
      <c r="S56" s="179"/>
      <c r="T56" s="179"/>
      <c r="U56" s="179"/>
      <c r="V56" s="179"/>
      <c r="W56" s="179"/>
      <c r="X56" s="179"/>
    </row>
    <row r="57" ht="15.75" customHeight="1">
      <c r="B57" s="63" t="s">
        <v>379</v>
      </c>
      <c r="C57" s="92">
        <f>Loans!$C$5</f>
        <v>110000</v>
      </c>
      <c r="D57" s="169">
        <f t="shared" si="1"/>
        <v>41744</v>
      </c>
      <c r="E57" s="169">
        <f>IF(B57="","",SUMIFS('June 2026 Expenses'!C:C, 'June 2026 Expenses'!A:A, "&gt;="&amp;DATEVALUE(B57), 'June 2026 Expenses'!A:A, "&lt;="&amp;EOMONTH(DATEVALUE(B57), 0)))</f>
        <v>0</v>
      </c>
      <c r="F57" s="173">
        <f t="shared" si="2"/>
        <v>68256</v>
      </c>
      <c r="G57" s="75"/>
      <c r="H57" s="78">
        <v>26494.0</v>
      </c>
      <c r="I57" s="179"/>
      <c r="J57" s="78">
        <v>15250.0</v>
      </c>
      <c r="K57" s="98"/>
      <c r="L57" s="179"/>
      <c r="M57" s="179"/>
      <c r="N57" s="179"/>
      <c r="O57" s="98"/>
      <c r="P57" s="179"/>
      <c r="Q57" s="179"/>
      <c r="R57" s="179"/>
      <c r="S57" s="179"/>
      <c r="T57" s="179"/>
      <c r="U57" s="179"/>
      <c r="V57" s="179"/>
      <c r="W57" s="179"/>
      <c r="X57" s="179"/>
    </row>
    <row r="58" ht="15.75" customHeight="1">
      <c r="B58" s="109" t="s">
        <v>380</v>
      </c>
      <c r="C58" s="110">
        <f>Loans!$C$5</f>
        <v>110000</v>
      </c>
      <c r="D58" s="141">
        <f t="shared" si="1"/>
        <v>41744</v>
      </c>
      <c r="E58" s="141">
        <f>IF(B58="","",SUMIFS('June 2026 Expenses'!C:C, 'June 2026 Expenses'!A:A, "&gt;="&amp;DATEVALUE(B58), 'June 2026 Expenses'!A:A, "&lt;="&amp;EOMONTH(DATEVALUE(B58), 0)))</f>
        <v>0</v>
      </c>
      <c r="F58" s="149">
        <f t="shared" si="2"/>
        <v>68256</v>
      </c>
      <c r="G58" s="119"/>
      <c r="H58" s="120">
        <v>26494.0</v>
      </c>
      <c r="I58" s="179"/>
      <c r="J58" s="120">
        <v>15250.0</v>
      </c>
      <c r="K58" s="98"/>
      <c r="L58" s="179"/>
      <c r="M58" s="179"/>
      <c r="N58" s="179"/>
      <c r="O58" s="98"/>
      <c r="P58" s="179"/>
      <c r="Q58" s="179"/>
      <c r="R58" s="179"/>
      <c r="S58" s="179"/>
      <c r="T58" s="179"/>
      <c r="U58" s="179"/>
      <c r="V58" s="179"/>
      <c r="W58" s="179"/>
      <c r="X58" s="179"/>
    </row>
    <row r="59" ht="15.75" customHeight="1">
      <c r="B59" s="86" t="s">
        <v>53</v>
      </c>
      <c r="C59" s="66">
        <f>Loans!$C$5</f>
        <v>110000</v>
      </c>
      <c r="D59" s="176">
        <f t="shared" si="1"/>
        <v>41744</v>
      </c>
      <c r="E59" s="176">
        <f>IF(B59="","",SUMIFS('June 2026 Expenses'!C:C, 'June 2026 Expenses'!A:A, "&gt;="&amp;DATEVALUE(B59), 'June 2026 Expenses'!A:A, "&lt;="&amp;EOMONTH(DATEVALUE(B59), 0)))</f>
        <v>0</v>
      </c>
      <c r="F59" s="177">
        <f t="shared" si="2"/>
        <v>68256</v>
      </c>
      <c r="G59" s="88" t="s">
        <v>381</v>
      </c>
      <c r="H59" s="89">
        <v>26494.0</v>
      </c>
      <c r="I59" s="179"/>
      <c r="J59" s="178">
        <v>15250.0</v>
      </c>
      <c r="K59" s="98"/>
      <c r="L59" s="179"/>
      <c r="M59" s="179"/>
      <c r="N59" s="179"/>
      <c r="O59" s="98"/>
      <c r="P59" s="179"/>
      <c r="Q59" s="179"/>
      <c r="R59" s="179"/>
      <c r="S59" s="179"/>
      <c r="T59" s="179"/>
      <c r="U59" s="179"/>
      <c r="V59" s="179"/>
      <c r="W59" s="179"/>
      <c r="X59" s="179"/>
    </row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</sheetData>
  <mergeCells count="2">
    <mergeCell ref="B1:W1"/>
    <mergeCell ref="B2:W2"/>
  </mergeCells>
  <dataValidations>
    <dataValidation type="custom" allowBlank="1" showDropDown="1" sqref="C5:F59 H5:J59 L5:N59 P5:X59">
      <formula1>AND(ISNUMBER(C5),(NOT(OR(NOT(ISERROR(DATEVALUE(C5))), AND(ISNUMBER(C5), LEFT(CELL("format", C5))="D")))))</formula1>
    </dataValidation>
    <dataValidation allowBlank="1" showDropDown="1" sqref="B5:B59 G5:G59"/>
  </dataValidations>
  <printOptions/>
  <pageMargins bottom="1.0" footer="0.0" header="0.0" left="0.75" right="0.75" top="1.0"/>
  <pageSetup paperSize="9" orientation="portrait"/>
  <drawing r:id="rId1"/>
  <tableParts count="1">
    <tablePart r:id="rId3"/>
  </tableParts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4.43" defaultRowHeight="15.0"/>
  <cols>
    <col customWidth="1" min="1" max="1" width="17.29"/>
    <col customWidth="1" min="2" max="2" width="31.86"/>
    <col customWidth="1" min="3" max="3" width="17.29"/>
    <col customWidth="1" min="4" max="4" width="35.86"/>
  </cols>
  <sheetData>
    <row r="1">
      <c r="A1" s="5" t="s">
        <v>3</v>
      </c>
    </row>
    <row r="3">
      <c r="A3" s="8" t="s">
        <v>6</v>
      </c>
      <c r="B3" s="8" t="s">
        <v>8</v>
      </c>
      <c r="C3" s="8" t="s">
        <v>9</v>
      </c>
      <c r="D3" s="8" t="s">
        <v>11</v>
      </c>
    </row>
    <row r="4">
      <c r="A4" s="12">
        <v>46174.0</v>
      </c>
      <c r="B4" s="15" t="s">
        <v>18</v>
      </c>
      <c r="C4" s="18">
        <v>1000.0</v>
      </c>
      <c r="D4" s="20">
        <v>46174.0</v>
      </c>
    </row>
    <row r="5">
      <c r="A5" s="12">
        <v>46175.0</v>
      </c>
      <c r="B5" s="15" t="s">
        <v>22</v>
      </c>
      <c r="C5" s="18">
        <v>12000.0</v>
      </c>
      <c r="D5" s="20">
        <v>46174.0</v>
      </c>
    </row>
    <row r="6">
      <c r="A6" s="12">
        <v>46176.0</v>
      </c>
      <c r="B6" s="15" t="s">
        <v>23</v>
      </c>
      <c r="C6" s="18">
        <v>2000.0</v>
      </c>
      <c r="D6" s="20">
        <v>46176.0</v>
      </c>
    </row>
    <row r="7">
      <c r="A7" s="12">
        <v>46177.0</v>
      </c>
      <c r="B7" s="15" t="s">
        <v>25</v>
      </c>
      <c r="C7" s="18">
        <v>3000.0</v>
      </c>
      <c r="D7" s="20">
        <v>46177.0</v>
      </c>
    </row>
    <row r="8">
      <c r="A8" s="12">
        <v>46178.0</v>
      </c>
      <c r="B8" s="26" t="s">
        <v>25</v>
      </c>
      <c r="C8" s="28">
        <v>1500.0</v>
      </c>
      <c r="D8" s="29">
        <v>46177.0</v>
      </c>
      <c r="E8" s="30"/>
      <c r="F8" s="30"/>
      <c r="G8" s="30"/>
      <c r="H8" s="30"/>
      <c r="I8" s="30"/>
      <c r="J8" s="30"/>
      <c r="K8" s="30"/>
      <c r="L8" s="30"/>
      <c r="M8" s="30"/>
      <c r="N8" s="30"/>
      <c r="O8" s="30"/>
      <c r="P8" s="30"/>
      <c r="Q8" s="30"/>
      <c r="R8" s="30"/>
      <c r="S8" s="30"/>
      <c r="T8" s="30"/>
      <c r="U8" s="30"/>
      <c r="V8" s="30"/>
      <c r="W8" s="30"/>
      <c r="X8" s="30"/>
      <c r="Y8" s="30"/>
      <c r="Z8" s="30"/>
    </row>
    <row r="9">
      <c r="A9" s="12">
        <v>46179.0</v>
      </c>
      <c r="B9" s="15" t="s">
        <v>37</v>
      </c>
      <c r="C9" s="18">
        <v>585.0</v>
      </c>
      <c r="D9" s="20">
        <v>46179.0</v>
      </c>
    </row>
    <row r="10">
      <c r="A10" s="12">
        <v>46180.0</v>
      </c>
      <c r="B10" s="15" t="s">
        <v>39</v>
      </c>
      <c r="C10" s="18">
        <v>4208.0</v>
      </c>
      <c r="D10" s="15" t="s">
        <v>40</v>
      </c>
    </row>
    <row r="11">
      <c r="A11" s="12">
        <v>46181.0</v>
      </c>
      <c r="B11" s="15" t="s">
        <v>23</v>
      </c>
      <c r="C11" s="18">
        <v>2000.0</v>
      </c>
      <c r="D11" s="39"/>
    </row>
    <row r="12">
      <c r="A12" s="12">
        <v>46182.0</v>
      </c>
      <c r="B12" s="15" t="s">
        <v>44</v>
      </c>
      <c r="C12" s="18">
        <v>2000.0</v>
      </c>
      <c r="D12" s="15" t="s">
        <v>46</v>
      </c>
    </row>
    <row r="13">
      <c r="A13" s="12">
        <v>46174.0</v>
      </c>
      <c r="B13" s="15" t="s">
        <v>48</v>
      </c>
      <c r="C13" s="18">
        <v>9975.0</v>
      </c>
      <c r="D13" s="15" t="s">
        <v>49</v>
      </c>
    </row>
    <row r="14">
      <c r="A14" s="12">
        <v>46174.0</v>
      </c>
      <c r="B14" s="15" t="s">
        <v>52</v>
      </c>
      <c r="C14" s="18">
        <v>185.0</v>
      </c>
      <c r="D14" s="15" t="s">
        <v>49</v>
      </c>
    </row>
    <row r="15">
      <c r="A15" s="12">
        <v>46174.0</v>
      </c>
      <c r="B15" s="15" t="s">
        <v>55</v>
      </c>
      <c r="C15" s="18">
        <v>650.0</v>
      </c>
      <c r="D15" s="15" t="s">
        <v>49</v>
      </c>
    </row>
    <row r="16">
      <c r="A16" s="12">
        <v>46174.0</v>
      </c>
      <c r="B16" s="15" t="s">
        <v>60</v>
      </c>
      <c r="C16" s="18">
        <v>5077.0</v>
      </c>
      <c r="D16" s="15" t="s">
        <v>62</v>
      </c>
    </row>
    <row r="17">
      <c r="A17" s="12">
        <v>46174.0</v>
      </c>
      <c r="B17" s="15" t="s">
        <v>63</v>
      </c>
      <c r="C17" s="18">
        <v>716.0</v>
      </c>
      <c r="D17" s="15" t="s">
        <v>64</v>
      </c>
    </row>
    <row r="18">
      <c r="A18" s="12">
        <v>46175.0</v>
      </c>
      <c r="B18" s="15" t="s">
        <v>67</v>
      </c>
      <c r="C18" s="18">
        <v>5000.0</v>
      </c>
      <c r="D18" s="15" t="s">
        <v>64</v>
      </c>
    </row>
    <row r="19">
      <c r="A19" s="12">
        <v>46176.0</v>
      </c>
      <c r="B19" s="15" t="s">
        <v>69</v>
      </c>
      <c r="C19" s="18">
        <v>2000.0</v>
      </c>
      <c r="D19" s="15" t="s">
        <v>64</v>
      </c>
    </row>
    <row r="20">
      <c r="A20" s="12">
        <v>46177.0</v>
      </c>
      <c r="B20" s="15" t="s">
        <v>71</v>
      </c>
      <c r="C20" s="18">
        <v>240.0</v>
      </c>
      <c r="D20" s="15" t="s">
        <v>64</v>
      </c>
    </row>
    <row r="21">
      <c r="A21" s="12">
        <v>46178.0</v>
      </c>
      <c r="B21" s="15" t="s">
        <v>74</v>
      </c>
      <c r="C21" s="18">
        <v>512.0</v>
      </c>
      <c r="D21" s="15" t="s">
        <v>75</v>
      </c>
    </row>
    <row r="22">
      <c r="A22" s="12">
        <v>46179.0</v>
      </c>
      <c r="B22" s="15" t="s">
        <v>76</v>
      </c>
      <c r="C22" s="18">
        <v>3000.0</v>
      </c>
      <c r="D22" s="15" t="s">
        <v>75</v>
      </c>
    </row>
    <row r="23">
      <c r="A23" s="12">
        <v>46180.0</v>
      </c>
      <c r="B23" s="15" t="s">
        <v>79</v>
      </c>
      <c r="C23" s="18">
        <v>15230.0</v>
      </c>
      <c r="D23" s="15" t="s">
        <v>75</v>
      </c>
    </row>
    <row r="24">
      <c r="A24" s="12">
        <v>46181.0</v>
      </c>
      <c r="B24" s="15" t="s">
        <v>81</v>
      </c>
      <c r="C24" s="18">
        <v>1950.0</v>
      </c>
      <c r="D24" s="15" t="s">
        <v>75</v>
      </c>
    </row>
    <row r="25">
      <c r="A25" s="12">
        <v>46182.0</v>
      </c>
      <c r="B25" s="15" t="s">
        <v>85</v>
      </c>
      <c r="C25" s="18">
        <v>500.0</v>
      </c>
      <c r="D25" s="15" t="s">
        <v>87</v>
      </c>
    </row>
    <row r="26">
      <c r="A26" s="12">
        <v>46183.0</v>
      </c>
      <c r="B26" s="15" t="s">
        <v>89</v>
      </c>
      <c r="C26" s="18">
        <v>850.0</v>
      </c>
      <c r="D26" s="15" t="s">
        <v>87</v>
      </c>
    </row>
    <row r="27">
      <c r="A27" s="12">
        <v>46184.0</v>
      </c>
      <c r="B27" s="15" t="s">
        <v>93</v>
      </c>
      <c r="C27" s="18">
        <v>3000.0</v>
      </c>
      <c r="D27" s="15" t="s">
        <v>94</v>
      </c>
    </row>
    <row r="28">
      <c r="A28" s="12">
        <v>46185.0</v>
      </c>
      <c r="B28" s="15" t="s">
        <v>97</v>
      </c>
      <c r="C28" s="18">
        <v>4000.0</v>
      </c>
      <c r="D28" s="15" t="s">
        <v>94</v>
      </c>
    </row>
    <row r="29">
      <c r="A29" s="12">
        <v>46186.0</v>
      </c>
      <c r="B29" s="15" t="s">
        <v>99</v>
      </c>
      <c r="C29" s="18">
        <v>9855.0</v>
      </c>
      <c r="D29" s="15" t="s">
        <v>101</v>
      </c>
    </row>
    <row r="30">
      <c r="A30" s="12">
        <v>46187.0</v>
      </c>
      <c r="B30" s="15" t="s">
        <v>102</v>
      </c>
      <c r="C30" s="18">
        <v>590.0</v>
      </c>
      <c r="D30" s="20">
        <v>46181.0</v>
      </c>
    </row>
    <row r="31">
      <c r="A31" s="12">
        <v>46188.0</v>
      </c>
      <c r="B31" s="15" t="s">
        <v>105</v>
      </c>
      <c r="C31" s="18">
        <v>2000.0</v>
      </c>
      <c r="D31" s="20">
        <v>46184.0</v>
      </c>
    </row>
    <row r="32">
      <c r="A32" s="12">
        <v>46189.0</v>
      </c>
      <c r="B32" s="15" t="s">
        <v>107</v>
      </c>
      <c r="C32" s="18">
        <v>6000.0</v>
      </c>
      <c r="D32" s="20">
        <v>46191.0</v>
      </c>
    </row>
    <row r="33">
      <c r="A33" s="12">
        <v>46174.0</v>
      </c>
      <c r="B33" s="15" t="s">
        <v>109</v>
      </c>
      <c r="C33" s="18">
        <v>1070.0</v>
      </c>
      <c r="D33" s="20">
        <v>46193.0</v>
      </c>
    </row>
    <row r="34">
      <c r="A34" s="12">
        <v>46174.0</v>
      </c>
      <c r="B34" s="15" t="s">
        <v>111</v>
      </c>
      <c r="C34" s="18">
        <v>5000.0</v>
      </c>
      <c r="D34" s="20">
        <v>46193.0</v>
      </c>
    </row>
    <row r="35">
      <c r="A35" s="12">
        <v>46174.0</v>
      </c>
      <c r="B35" s="15" t="s">
        <v>113</v>
      </c>
      <c r="C35" s="18">
        <v>850.0</v>
      </c>
      <c r="D35" s="20">
        <v>46194.0</v>
      </c>
    </row>
    <row r="36">
      <c r="A36" s="12">
        <v>46174.0</v>
      </c>
      <c r="B36" s="15" t="s">
        <v>114</v>
      </c>
      <c r="C36" s="18">
        <v>220.0</v>
      </c>
      <c r="D36" s="20">
        <v>46194.0</v>
      </c>
    </row>
    <row r="37">
      <c r="A37" s="12">
        <v>46174.0</v>
      </c>
      <c r="B37" s="15" t="s">
        <v>116</v>
      </c>
      <c r="C37" s="18">
        <v>27500.0</v>
      </c>
      <c r="D37" s="15" t="s">
        <v>117</v>
      </c>
    </row>
    <row r="38">
      <c r="A38" s="39"/>
      <c r="B38" s="39"/>
      <c r="C38" s="64"/>
      <c r="D38" s="39"/>
    </row>
    <row r="39">
      <c r="A39" s="39"/>
      <c r="B39" s="39"/>
      <c r="C39" s="64"/>
      <c r="D39" s="39"/>
    </row>
    <row r="40">
      <c r="A40" s="39"/>
      <c r="B40" s="39"/>
      <c r="C40" s="64"/>
      <c r="D40" s="39"/>
    </row>
    <row r="41">
      <c r="A41" s="39"/>
      <c r="B41" s="39"/>
      <c r="C41" s="64"/>
      <c r="D41" s="39"/>
    </row>
    <row r="42">
      <c r="A42" s="39"/>
      <c r="B42" s="39"/>
      <c r="C42" s="64"/>
      <c r="D42" s="39"/>
    </row>
    <row r="43">
      <c r="A43" s="39"/>
      <c r="B43" s="39"/>
      <c r="C43" s="64"/>
      <c r="D43" s="39"/>
    </row>
    <row r="44">
      <c r="A44" s="39"/>
      <c r="B44" s="39"/>
      <c r="C44" s="64"/>
      <c r="D44" s="39"/>
    </row>
    <row r="45">
      <c r="A45" s="39"/>
      <c r="B45" s="39"/>
      <c r="C45" s="64"/>
      <c r="D45" s="39"/>
    </row>
    <row r="46">
      <c r="A46" s="39"/>
      <c r="B46" s="39"/>
      <c r="C46" s="64"/>
      <c r="D46" s="39"/>
    </row>
    <row r="47">
      <c r="A47" s="39"/>
      <c r="B47" s="39"/>
      <c r="C47" s="64"/>
      <c r="D47" s="39"/>
    </row>
    <row r="48">
      <c r="A48" s="39"/>
      <c r="B48" s="39"/>
      <c r="C48" s="64"/>
      <c r="D48" s="39"/>
    </row>
    <row r="49">
      <c r="A49" s="39"/>
      <c r="B49" s="39"/>
      <c r="C49" s="64"/>
      <c r="D49" s="39"/>
    </row>
    <row r="50">
      <c r="A50" s="39"/>
      <c r="B50" s="39"/>
      <c r="C50" s="64"/>
      <c r="D50" s="39"/>
    </row>
    <row r="51">
      <c r="A51" s="39"/>
      <c r="B51" s="39"/>
      <c r="C51" s="64"/>
      <c r="D51" s="39"/>
    </row>
    <row r="52">
      <c r="A52" s="39"/>
      <c r="B52" s="39"/>
      <c r="C52" s="64"/>
      <c r="D52" s="39"/>
    </row>
    <row r="53">
      <c r="A53" s="39"/>
      <c r="B53" s="39"/>
      <c r="C53" s="64"/>
      <c r="D53" s="39"/>
    </row>
    <row r="54">
      <c r="A54" s="39"/>
      <c r="B54" s="39"/>
      <c r="C54" s="64"/>
      <c r="D54" s="39"/>
    </row>
    <row r="55">
      <c r="A55" s="39"/>
      <c r="B55" s="39"/>
      <c r="C55" s="64"/>
      <c r="D55" s="39"/>
    </row>
    <row r="56">
      <c r="A56" s="39"/>
      <c r="B56" s="39"/>
      <c r="C56" s="64"/>
      <c r="D56" s="39"/>
    </row>
    <row r="57">
      <c r="A57" s="39"/>
      <c r="B57" s="39"/>
      <c r="C57" s="64"/>
      <c r="D57" s="39"/>
    </row>
    <row r="58">
      <c r="A58" s="39"/>
      <c r="B58" s="39"/>
      <c r="C58" s="64"/>
      <c r="D58" s="39"/>
    </row>
    <row r="59">
      <c r="A59" s="39"/>
      <c r="B59" s="39"/>
      <c r="C59" s="64"/>
      <c r="D59" s="39"/>
    </row>
    <row r="60">
      <c r="A60" s="39"/>
      <c r="B60" s="39"/>
      <c r="C60" s="64"/>
      <c r="D60" s="39"/>
    </row>
    <row r="61">
      <c r="A61" s="39"/>
      <c r="B61" s="39"/>
      <c r="C61" s="64"/>
      <c r="D61" s="39"/>
    </row>
    <row r="62">
      <c r="A62" s="39"/>
      <c r="B62" s="39"/>
      <c r="C62" s="64"/>
      <c r="D62" s="39"/>
    </row>
    <row r="63">
      <c r="A63" s="39"/>
      <c r="B63" s="39"/>
      <c r="C63" s="64"/>
      <c r="D63" s="39"/>
    </row>
    <row r="64">
      <c r="A64" s="39"/>
      <c r="B64" s="39"/>
      <c r="C64" s="64"/>
      <c r="D64" s="39"/>
    </row>
    <row r="65">
      <c r="A65" s="39"/>
      <c r="B65" s="39"/>
      <c r="C65" s="64"/>
      <c r="D65" s="39"/>
    </row>
    <row r="66">
      <c r="A66" s="39"/>
      <c r="B66" s="39"/>
      <c r="C66" s="64"/>
      <c r="D66" s="39"/>
    </row>
    <row r="67">
      <c r="A67" s="39"/>
      <c r="B67" s="39"/>
      <c r="C67" s="64"/>
      <c r="D67" s="39"/>
    </row>
    <row r="68">
      <c r="A68" s="39"/>
      <c r="B68" s="39"/>
      <c r="C68" s="64"/>
      <c r="D68" s="39"/>
    </row>
    <row r="69">
      <c r="A69" s="39"/>
      <c r="B69" s="39"/>
      <c r="C69" s="64"/>
      <c r="D69" s="39"/>
    </row>
    <row r="70">
      <c r="A70" s="39"/>
      <c r="B70" s="39"/>
      <c r="C70" s="64"/>
      <c r="D70" s="39"/>
    </row>
    <row r="71">
      <c r="A71" s="39"/>
      <c r="B71" s="39"/>
      <c r="C71" s="64"/>
      <c r="D71" s="39"/>
    </row>
    <row r="72">
      <c r="A72" s="39"/>
      <c r="B72" s="39"/>
      <c r="C72" s="64"/>
      <c r="D72" s="39"/>
    </row>
    <row r="73">
      <c r="A73" s="39"/>
      <c r="B73" s="39"/>
      <c r="C73" s="64"/>
      <c r="D73" s="39"/>
    </row>
    <row r="74">
      <c r="A74" s="39"/>
      <c r="B74" s="39"/>
      <c r="C74" s="64"/>
      <c r="D74" s="39"/>
    </row>
    <row r="75">
      <c r="A75" s="39"/>
      <c r="B75" s="39"/>
      <c r="C75" s="64"/>
      <c r="D75" s="39"/>
    </row>
    <row r="76">
      <c r="A76" s="39"/>
      <c r="B76" s="39"/>
      <c r="C76" s="64"/>
      <c r="D76" s="39"/>
    </row>
    <row r="77">
      <c r="A77" s="39"/>
      <c r="B77" s="39"/>
      <c r="C77" s="64"/>
      <c r="D77" s="39"/>
    </row>
    <row r="78">
      <c r="A78" s="39"/>
      <c r="B78" s="39"/>
      <c r="C78" s="64"/>
      <c r="D78" s="39"/>
    </row>
    <row r="79">
      <c r="A79" s="39"/>
      <c r="B79" s="39"/>
      <c r="C79" s="64"/>
      <c r="D79" s="39"/>
    </row>
    <row r="80">
      <c r="A80" s="39"/>
      <c r="B80" s="39"/>
      <c r="C80" s="64"/>
      <c r="D80" s="39"/>
    </row>
    <row r="81">
      <c r="A81" s="39"/>
      <c r="B81" s="39"/>
      <c r="C81" s="64"/>
      <c r="D81" s="39"/>
    </row>
    <row r="82">
      <c r="A82" s="39"/>
      <c r="B82" s="39"/>
      <c r="C82" s="64"/>
      <c r="D82" s="39"/>
    </row>
    <row r="83">
      <c r="A83" s="39"/>
      <c r="B83" s="39"/>
      <c r="C83" s="64"/>
      <c r="D83" s="39"/>
    </row>
    <row r="84">
      <c r="A84" s="39"/>
      <c r="B84" s="39"/>
      <c r="C84" s="64"/>
      <c r="D84" s="39"/>
    </row>
    <row r="85">
      <c r="A85" s="39"/>
      <c r="B85" s="39"/>
      <c r="C85" s="64"/>
      <c r="D85" s="39"/>
    </row>
    <row r="86">
      <c r="A86" s="39"/>
      <c r="B86" s="39"/>
      <c r="C86" s="64"/>
      <c r="D86" s="39"/>
    </row>
    <row r="87">
      <c r="A87" s="39"/>
      <c r="B87" s="39"/>
      <c r="C87" s="64"/>
      <c r="D87" s="39"/>
    </row>
    <row r="88">
      <c r="A88" s="39"/>
      <c r="B88" s="39"/>
      <c r="C88" s="64"/>
      <c r="D88" s="39"/>
    </row>
    <row r="89">
      <c r="A89" s="39"/>
      <c r="B89" s="39"/>
      <c r="C89" s="64"/>
      <c r="D89" s="39"/>
    </row>
    <row r="90">
      <c r="A90" s="39"/>
      <c r="B90" s="39"/>
      <c r="C90" s="64"/>
      <c r="D90" s="39"/>
    </row>
    <row r="91">
      <c r="A91" s="39"/>
      <c r="B91" s="39"/>
      <c r="C91" s="64"/>
      <c r="D91" s="39"/>
    </row>
    <row r="92">
      <c r="A92" s="39"/>
      <c r="B92" s="39"/>
      <c r="C92" s="64"/>
      <c r="D92" s="39"/>
    </row>
    <row r="93">
      <c r="A93" s="39"/>
      <c r="B93" s="39"/>
      <c r="C93" s="64"/>
      <c r="D93" s="39"/>
    </row>
    <row r="94">
      <c r="A94" s="39"/>
      <c r="B94" s="39"/>
      <c r="C94" s="64"/>
      <c r="D94" s="39"/>
    </row>
    <row r="95">
      <c r="A95" s="39"/>
      <c r="B95" s="39"/>
      <c r="C95" s="64"/>
      <c r="D95" s="39"/>
    </row>
    <row r="96">
      <c r="A96" s="39"/>
      <c r="B96" s="39"/>
      <c r="C96" s="64"/>
      <c r="D96" s="39"/>
    </row>
    <row r="97">
      <c r="A97" s="39"/>
      <c r="B97" s="39"/>
      <c r="C97" s="64"/>
      <c r="D97" s="39"/>
    </row>
    <row r="98">
      <c r="A98" s="39"/>
      <c r="B98" s="39"/>
      <c r="C98" s="64"/>
      <c r="D98" s="39"/>
    </row>
    <row r="99">
      <c r="A99" s="39"/>
      <c r="B99" s="39"/>
      <c r="C99" s="64"/>
      <c r="D99" s="39"/>
    </row>
    <row r="100">
      <c r="A100" s="39"/>
      <c r="B100" s="39"/>
      <c r="C100" s="64"/>
      <c r="D100" s="39"/>
    </row>
  </sheetData>
  <drawing r:id="rId1"/>
  <tableParts count="1"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4.43" defaultRowHeight="15.0"/>
  <cols>
    <col customWidth="1" min="1" max="1" width="3.14"/>
    <col customWidth="1" min="2" max="2" width="11.57"/>
    <col customWidth="1" min="3" max="3" width="17.29"/>
    <col customWidth="1" min="4" max="5" width="21.57"/>
    <col customWidth="1" min="6" max="7" width="17.29"/>
  </cols>
  <sheetData>
    <row r="1" ht="6.75" customHeight="1"/>
    <row r="2">
      <c r="B2" s="6" t="s">
        <v>4</v>
      </c>
    </row>
    <row r="4">
      <c r="B4" s="9" t="s">
        <v>7</v>
      </c>
      <c r="C4" s="9" t="s">
        <v>10</v>
      </c>
      <c r="D4" s="9" t="s">
        <v>12</v>
      </c>
      <c r="E4" s="9" t="s">
        <v>13</v>
      </c>
      <c r="F4" s="9" t="s">
        <v>15</v>
      </c>
      <c r="G4" s="9" t="s">
        <v>16</v>
      </c>
      <c r="H4" s="13" t="s">
        <v>17</v>
      </c>
    </row>
    <row r="5">
      <c r="B5" s="16">
        <v>55.8</v>
      </c>
      <c r="C5" s="19">
        <v>0.11</v>
      </c>
      <c r="D5" s="16" t="s">
        <v>20</v>
      </c>
      <c r="E5" s="16" t="s">
        <v>21</v>
      </c>
      <c r="F5" s="21">
        <v>391560.0</v>
      </c>
      <c r="G5" s="22">
        <v>46010.0</v>
      </c>
      <c r="H5" s="24">
        <f t="shared" ref="H5:H9" si="1">IF(OR(ISBLANK(F5), ISBLANK(G5), ISBLANK(C5)), 0, F5 * C5 * (TODAY() - G5) / 365)</f>
        <v>26550.9863</v>
      </c>
    </row>
    <row r="6">
      <c r="B6" s="16">
        <v>30.0</v>
      </c>
      <c r="C6" s="19">
        <v>0.1</v>
      </c>
      <c r="D6" s="16" t="s">
        <v>20</v>
      </c>
      <c r="E6" s="16" t="s">
        <v>35</v>
      </c>
      <c r="F6" s="21">
        <v>229500.0</v>
      </c>
      <c r="G6" s="22">
        <v>45966.0</v>
      </c>
      <c r="H6" s="24">
        <f t="shared" si="1"/>
        <v>16913.83562</v>
      </c>
    </row>
    <row r="7">
      <c r="B7" s="16">
        <v>36.9</v>
      </c>
      <c r="C7" s="19">
        <v>0.105</v>
      </c>
      <c r="D7" s="16" t="s">
        <v>20</v>
      </c>
      <c r="E7" s="16" t="s">
        <v>42</v>
      </c>
      <c r="F7" s="21">
        <v>300000.0</v>
      </c>
      <c r="G7" s="22">
        <v>46169.0</v>
      </c>
      <c r="H7" s="24">
        <f t="shared" si="1"/>
        <v>5695.890411</v>
      </c>
    </row>
    <row r="8">
      <c r="B8" s="16">
        <v>15.0</v>
      </c>
      <c r="C8" s="40"/>
      <c r="D8" s="16" t="s">
        <v>20</v>
      </c>
      <c r="E8" s="16" t="s">
        <v>42</v>
      </c>
      <c r="F8" s="21">
        <v>135000.0</v>
      </c>
      <c r="G8" s="22">
        <v>46178.0</v>
      </c>
      <c r="H8" s="24">
        <f t="shared" si="1"/>
        <v>0</v>
      </c>
    </row>
    <row r="9">
      <c r="B9" s="45"/>
      <c r="C9" s="40"/>
      <c r="D9" s="16" t="s">
        <v>20</v>
      </c>
      <c r="E9" s="16" t="s">
        <v>57</v>
      </c>
      <c r="F9" s="21">
        <v>297698.0</v>
      </c>
      <c r="G9" s="22">
        <v>46035.0</v>
      </c>
      <c r="H9" s="24">
        <f t="shared" si="1"/>
        <v>0</v>
      </c>
    </row>
    <row r="10">
      <c r="B10" s="45"/>
      <c r="C10" s="40"/>
      <c r="D10" s="45"/>
      <c r="E10" s="45"/>
      <c r="F10" s="49"/>
      <c r="G10" s="50"/>
      <c r="H10" s="24" t="str">
        <f t="shared" ref="H10:H96" si="2">IF(OR(ISBLANK(F10), ISBLANK(G10)), "", F10 * (C10/100) * (TODAY() - G10) / 365)</f>
        <v/>
      </c>
    </row>
    <row r="11">
      <c r="B11" s="45"/>
      <c r="C11" s="40"/>
      <c r="D11" s="45"/>
      <c r="E11" s="45"/>
      <c r="F11" s="49"/>
      <c r="G11" s="50"/>
      <c r="H11" s="24" t="str">
        <f t="shared" si="2"/>
        <v/>
      </c>
    </row>
    <row r="12">
      <c r="B12" s="45"/>
      <c r="C12" s="40"/>
      <c r="D12" s="45"/>
      <c r="E12" s="45"/>
      <c r="F12" s="49"/>
      <c r="G12" s="50"/>
      <c r="H12" s="24" t="str">
        <f t="shared" si="2"/>
        <v/>
      </c>
    </row>
    <row r="13">
      <c r="B13" s="45"/>
      <c r="C13" s="40"/>
      <c r="D13" s="45"/>
      <c r="E13" s="45"/>
      <c r="F13" s="49"/>
      <c r="G13" s="50"/>
      <c r="H13" s="24" t="str">
        <f t="shared" si="2"/>
        <v/>
      </c>
    </row>
    <row r="14">
      <c r="B14" s="45"/>
      <c r="C14" s="40"/>
      <c r="D14" s="45"/>
      <c r="E14" s="45"/>
      <c r="F14" s="49"/>
      <c r="G14" s="50"/>
      <c r="H14" s="24" t="str">
        <f t="shared" si="2"/>
        <v/>
      </c>
    </row>
    <row r="15">
      <c r="B15" s="45"/>
      <c r="C15" s="40"/>
      <c r="D15" s="45"/>
      <c r="E15" s="45"/>
      <c r="F15" s="49"/>
      <c r="G15" s="50"/>
      <c r="H15" s="24" t="str">
        <f t="shared" si="2"/>
        <v/>
      </c>
    </row>
    <row r="16">
      <c r="B16" s="45"/>
      <c r="C16" s="40"/>
      <c r="D16" s="45"/>
      <c r="E16" s="45"/>
      <c r="F16" s="49"/>
      <c r="G16" s="50"/>
      <c r="H16" s="24" t="str">
        <f t="shared" si="2"/>
        <v/>
      </c>
    </row>
    <row r="17">
      <c r="B17" s="45"/>
      <c r="C17" s="40"/>
      <c r="D17" s="45"/>
      <c r="E17" s="45"/>
      <c r="F17" s="49"/>
      <c r="G17" s="50"/>
      <c r="H17" s="24" t="str">
        <f t="shared" si="2"/>
        <v/>
      </c>
    </row>
    <row r="18">
      <c r="B18" s="45"/>
      <c r="C18" s="40"/>
      <c r="D18" s="45"/>
      <c r="E18" s="45"/>
      <c r="F18" s="49"/>
      <c r="G18" s="50"/>
      <c r="H18" s="24" t="str">
        <f t="shared" si="2"/>
        <v/>
      </c>
    </row>
    <row r="19">
      <c r="B19" s="45"/>
      <c r="C19" s="40"/>
      <c r="D19" s="45"/>
      <c r="E19" s="45"/>
      <c r="F19" s="49"/>
      <c r="G19" s="50"/>
      <c r="H19" s="24" t="str">
        <f t="shared" si="2"/>
        <v/>
      </c>
    </row>
    <row r="20">
      <c r="B20" s="45"/>
      <c r="C20" s="40"/>
      <c r="D20" s="45"/>
      <c r="E20" s="45"/>
      <c r="F20" s="49"/>
      <c r="G20" s="50"/>
      <c r="H20" s="24" t="str">
        <f t="shared" si="2"/>
        <v/>
      </c>
    </row>
    <row r="21">
      <c r="B21" s="45"/>
      <c r="C21" s="40"/>
      <c r="D21" s="45"/>
      <c r="E21" s="45"/>
      <c r="F21" s="49"/>
      <c r="G21" s="50"/>
      <c r="H21" s="24" t="str">
        <f t="shared" si="2"/>
        <v/>
      </c>
    </row>
    <row r="22">
      <c r="B22" s="45"/>
      <c r="C22" s="40"/>
      <c r="D22" s="45"/>
      <c r="E22" s="45"/>
      <c r="F22" s="49"/>
      <c r="G22" s="50"/>
      <c r="H22" s="24" t="str">
        <f t="shared" si="2"/>
        <v/>
      </c>
    </row>
    <row r="23">
      <c r="B23" s="45"/>
      <c r="C23" s="40"/>
      <c r="D23" s="45"/>
      <c r="E23" s="45"/>
      <c r="F23" s="49"/>
      <c r="G23" s="50"/>
      <c r="H23" s="24" t="str">
        <f t="shared" si="2"/>
        <v/>
      </c>
    </row>
    <row r="24">
      <c r="B24" s="45"/>
      <c r="C24" s="40"/>
      <c r="D24" s="45"/>
      <c r="E24" s="45"/>
      <c r="F24" s="49"/>
      <c r="G24" s="50"/>
      <c r="H24" s="24" t="str">
        <f t="shared" si="2"/>
        <v/>
      </c>
    </row>
    <row r="25">
      <c r="B25" s="45"/>
      <c r="C25" s="40"/>
      <c r="D25" s="45"/>
      <c r="E25" s="45"/>
      <c r="F25" s="49"/>
      <c r="G25" s="50"/>
      <c r="H25" s="24" t="str">
        <f t="shared" si="2"/>
        <v/>
      </c>
    </row>
    <row r="26">
      <c r="B26" s="45"/>
      <c r="C26" s="40"/>
      <c r="D26" s="45"/>
      <c r="E26" s="45"/>
      <c r="F26" s="49"/>
      <c r="G26" s="50"/>
      <c r="H26" s="24" t="str">
        <f t="shared" si="2"/>
        <v/>
      </c>
    </row>
    <row r="27">
      <c r="B27" s="45"/>
      <c r="C27" s="40"/>
      <c r="D27" s="45"/>
      <c r="E27" s="45"/>
      <c r="F27" s="49"/>
      <c r="G27" s="50"/>
      <c r="H27" s="24" t="str">
        <f t="shared" si="2"/>
        <v/>
      </c>
    </row>
    <row r="28">
      <c r="B28" s="45"/>
      <c r="C28" s="40"/>
      <c r="D28" s="45"/>
      <c r="E28" s="45"/>
      <c r="F28" s="49"/>
      <c r="G28" s="50"/>
      <c r="H28" s="24" t="str">
        <f t="shared" si="2"/>
        <v/>
      </c>
    </row>
    <row r="29">
      <c r="B29" s="45"/>
      <c r="C29" s="40"/>
      <c r="D29" s="45"/>
      <c r="E29" s="45"/>
      <c r="F29" s="49"/>
      <c r="G29" s="50"/>
      <c r="H29" s="24" t="str">
        <f t="shared" si="2"/>
        <v/>
      </c>
    </row>
    <row r="30">
      <c r="B30" s="45"/>
      <c r="C30" s="40"/>
      <c r="D30" s="45"/>
      <c r="E30" s="45"/>
      <c r="F30" s="49"/>
      <c r="G30" s="50"/>
      <c r="H30" s="24" t="str">
        <f t="shared" si="2"/>
        <v/>
      </c>
    </row>
    <row r="31">
      <c r="B31" s="45"/>
      <c r="C31" s="40"/>
      <c r="D31" s="45"/>
      <c r="E31" s="45"/>
      <c r="F31" s="49"/>
      <c r="G31" s="50"/>
      <c r="H31" s="24" t="str">
        <f t="shared" si="2"/>
        <v/>
      </c>
    </row>
    <row r="32">
      <c r="B32" s="45"/>
      <c r="C32" s="40"/>
      <c r="D32" s="45"/>
      <c r="E32" s="45"/>
      <c r="F32" s="49"/>
      <c r="G32" s="50"/>
      <c r="H32" s="24" t="str">
        <f t="shared" si="2"/>
        <v/>
      </c>
    </row>
    <row r="33">
      <c r="B33" s="45"/>
      <c r="C33" s="40"/>
      <c r="D33" s="45"/>
      <c r="E33" s="45"/>
      <c r="F33" s="49"/>
      <c r="G33" s="50"/>
      <c r="H33" s="24" t="str">
        <f t="shared" si="2"/>
        <v/>
      </c>
    </row>
    <row r="34">
      <c r="B34" s="45"/>
      <c r="C34" s="40"/>
      <c r="D34" s="45"/>
      <c r="E34" s="45"/>
      <c r="F34" s="49"/>
      <c r="G34" s="50"/>
      <c r="H34" s="24" t="str">
        <f t="shared" si="2"/>
        <v/>
      </c>
    </row>
    <row r="35">
      <c r="B35" s="45"/>
      <c r="C35" s="40"/>
      <c r="D35" s="45"/>
      <c r="E35" s="45"/>
      <c r="F35" s="49"/>
      <c r="G35" s="50"/>
      <c r="H35" s="24" t="str">
        <f t="shared" si="2"/>
        <v/>
      </c>
    </row>
    <row r="36">
      <c r="B36" s="45"/>
      <c r="C36" s="40"/>
      <c r="D36" s="45"/>
      <c r="E36" s="45"/>
      <c r="F36" s="49"/>
      <c r="G36" s="50"/>
      <c r="H36" s="24" t="str">
        <f t="shared" si="2"/>
        <v/>
      </c>
    </row>
    <row r="37">
      <c r="B37" s="45"/>
      <c r="C37" s="40"/>
      <c r="D37" s="45"/>
      <c r="E37" s="45"/>
      <c r="F37" s="49"/>
      <c r="G37" s="50"/>
      <c r="H37" s="24" t="str">
        <f t="shared" si="2"/>
        <v/>
      </c>
    </row>
    <row r="38">
      <c r="B38" s="45"/>
      <c r="C38" s="40"/>
      <c r="D38" s="45"/>
      <c r="E38" s="45"/>
      <c r="F38" s="49"/>
      <c r="G38" s="50"/>
      <c r="H38" s="24" t="str">
        <f t="shared" si="2"/>
        <v/>
      </c>
    </row>
    <row r="39">
      <c r="B39" s="45"/>
      <c r="C39" s="40"/>
      <c r="D39" s="45"/>
      <c r="E39" s="45"/>
      <c r="F39" s="49"/>
      <c r="G39" s="50"/>
      <c r="H39" s="24" t="str">
        <f t="shared" si="2"/>
        <v/>
      </c>
    </row>
    <row r="40">
      <c r="B40" s="45"/>
      <c r="C40" s="40"/>
      <c r="D40" s="45"/>
      <c r="E40" s="45"/>
      <c r="F40" s="49"/>
      <c r="G40" s="50"/>
      <c r="H40" s="24" t="str">
        <f t="shared" si="2"/>
        <v/>
      </c>
    </row>
    <row r="41">
      <c r="B41" s="45"/>
      <c r="C41" s="40"/>
      <c r="D41" s="45"/>
      <c r="E41" s="45"/>
      <c r="F41" s="49"/>
      <c r="G41" s="50"/>
      <c r="H41" s="24" t="str">
        <f t="shared" si="2"/>
        <v/>
      </c>
    </row>
    <row r="42">
      <c r="B42" s="45"/>
      <c r="C42" s="40"/>
      <c r="D42" s="45"/>
      <c r="E42" s="45"/>
      <c r="F42" s="49"/>
      <c r="G42" s="50"/>
      <c r="H42" s="24" t="str">
        <f t="shared" si="2"/>
        <v/>
      </c>
    </row>
    <row r="43">
      <c r="B43" s="45"/>
      <c r="C43" s="40"/>
      <c r="D43" s="45"/>
      <c r="E43" s="45"/>
      <c r="F43" s="49"/>
      <c r="G43" s="50"/>
      <c r="H43" s="24" t="str">
        <f t="shared" si="2"/>
        <v/>
      </c>
    </row>
    <row r="44">
      <c r="B44" s="45"/>
      <c r="C44" s="40"/>
      <c r="D44" s="45"/>
      <c r="E44" s="45"/>
      <c r="F44" s="49"/>
      <c r="G44" s="50"/>
      <c r="H44" s="24" t="str">
        <f t="shared" si="2"/>
        <v/>
      </c>
    </row>
    <row r="45">
      <c r="B45" s="45"/>
      <c r="C45" s="40"/>
      <c r="D45" s="45"/>
      <c r="E45" s="45"/>
      <c r="F45" s="49"/>
      <c r="G45" s="50"/>
      <c r="H45" s="24" t="str">
        <f t="shared" si="2"/>
        <v/>
      </c>
    </row>
    <row r="46">
      <c r="B46" s="45"/>
      <c r="C46" s="40"/>
      <c r="D46" s="45"/>
      <c r="E46" s="45"/>
      <c r="F46" s="49"/>
      <c r="G46" s="50"/>
      <c r="H46" s="24" t="str">
        <f t="shared" si="2"/>
        <v/>
      </c>
    </row>
    <row r="47">
      <c r="B47" s="45"/>
      <c r="C47" s="40"/>
      <c r="D47" s="45"/>
      <c r="E47" s="45"/>
      <c r="F47" s="49"/>
      <c r="G47" s="50"/>
      <c r="H47" s="24" t="str">
        <f t="shared" si="2"/>
        <v/>
      </c>
    </row>
    <row r="48">
      <c r="B48" s="45"/>
      <c r="C48" s="40"/>
      <c r="D48" s="45"/>
      <c r="E48" s="45"/>
      <c r="F48" s="49"/>
      <c r="G48" s="50"/>
      <c r="H48" s="24" t="str">
        <f t="shared" si="2"/>
        <v/>
      </c>
    </row>
    <row r="49">
      <c r="B49" s="45"/>
      <c r="C49" s="40"/>
      <c r="D49" s="45"/>
      <c r="E49" s="45"/>
      <c r="F49" s="49"/>
      <c r="G49" s="50"/>
      <c r="H49" s="24" t="str">
        <f t="shared" si="2"/>
        <v/>
      </c>
    </row>
    <row r="50">
      <c r="B50" s="45"/>
      <c r="C50" s="40"/>
      <c r="D50" s="45"/>
      <c r="E50" s="45"/>
      <c r="F50" s="49"/>
      <c r="G50" s="50"/>
      <c r="H50" s="24" t="str">
        <f t="shared" si="2"/>
        <v/>
      </c>
    </row>
    <row r="51">
      <c r="B51" s="45"/>
      <c r="C51" s="40"/>
      <c r="D51" s="45"/>
      <c r="E51" s="45"/>
      <c r="F51" s="49"/>
      <c r="G51" s="50"/>
      <c r="H51" s="24" t="str">
        <f t="shared" si="2"/>
        <v/>
      </c>
    </row>
    <row r="52">
      <c r="B52" s="45"/>
      <c r="C52" s="40"/>
      <c r="D52" s="45"/>
      <c r="E52" s="45"/>
      <c r="F52" s="49"/>
      <c r="G52" s="50"/>
      <c r="H52" s="24" t="str">
        <f t="shared" si="2"/>
        <v/>
      </c>
    </row>
    <row r="53">
      <c r="B53" s="45"/>
      <c r="C53" s="40"/>
      <c r="D53" s="45"/>
      <c r="E53" s="45"/>
      <c r="F53" s="49"/>
      <c r="G53" s="50"/>
      <c r="H53" s="24" t="str">
        <f t="shared" si="2"/>
        <v/>
      </c>
    </row>
    <row r="54">
      <c r="B54" s="45"/>
      <c r="C54" s="40"/>
      <c r="D54" s="45"/>
      <c r="E54" s="45"/>
      <c r="F54" s="49"/>
      <c r="G54" s="50"/>
      <c r="H54" s="24" t="str">
        <f t="shared" si="2"/>
        <v/>
      </c>
    </row>
    <row r="55">
      <c r="B55" s="45"/>
      <c r="C55" s="40"/>
      <c r="D55" s="45"/>
      <c r="E55" s="45"/>
      <c r="F55" s="49"/>
      <c r="G55" s="50"/>
      <c r="H55" s="24" t="str">
        <f t="shared" si="2"/>
        <v/>
      </c>
    </row>
    <row r="56">
      <c r="B56" s="45"/>
      <c r="C56" s="40"/>
      <c r="D56" s="45"/>
      <c r="E56" s="45"/>
      <c r="F56" s="49"/>
      <c r="G56" s="50"/>
      <c r="H56" s="24" t="str">
        <f t="shared" si="2"/>
        <v/>
      </c>
    </row>
    <row r="57">
      <c r="B57" s="45"/>
      <c r="C57" s="40"/>
      <c r="D57" s="45"/>
      <c r="E57" s="45"/>
      <c r="F57" s="49"/>
      <c r="G57" s="50"/>
      <c r="H57" s="24" t="str">
        <f t="shared" si="2"/>
        <v/>
      </c>
    </row>
    <row r="58">
      <c r="B58" s="45"/>
      <c r="C58" s="40"/>
      <c r="D58" s="45"/>
      <c r="E58" s="45"/>
      <c r="F58" s="49"/>
      <c r="G58" s="50"/>
      <c r="H58" s="24" t="str">
        <f t="shared" si="2"/>
        <v/>
      </c>
    </row>
    <row r="59">
      <c r="B59" s="45"/>
      <c r="C59" s="40"/>
      <c r="D59" s="45"/>
      <c r="E59" s="45"/>
      <c r="F59" s="49"/>
      <c r="G59" s="50"/>
      <c r="H59" s="24" t="str">
        <f t="shared" si="2"/>
        <v/>
      </c>
    </row>
    <row r="60">
      <c r="B60" s="45"/>
      <c r="C60" s="40"/>
      <c r="D60" s="45"/>
      <c r="E60" s="45"/>
      <c r="F60" s="49"/>
      <c r="G60" s="50"/>
      <c r="H60" s="24" t="str">
        <f t="shared" si="2"/>
        <v/>
      </c>
    </row>
    <row r="61">
      <c r="B61" s="45"/>
      <c r="C61" s="40"/>
      <c r="D61" s="45"/>
      <c r="E61" s="45"/>
      <c r="F61" s="49"/>
      <c r="G61" s="50"/>
      <c r="H61" s="24" t="str">
        <f t="shared" si="2"/>
        <v/>
      </c>
    </row>
    <row r="62">
      <c r="B62" s="45"/>
      <c r="C62" s="40"/>
      <c r="D62" s="45"/>
      <c r="E62" s="45"/>
      <c r="F62" s="49"/>
      <c r="G62" s="50"/>
      <c r="H62" s="24" t="str">
        <f t="shared" si="2"/>
        <v/>
      </c>
    </row>
    <row r="63">
      <c r="B63" s="45"/>
      <c r="C63" s="40"/>
      <c r="D63" s="45"/>
      <c r="E63" s="45"/>
      <c r="F63" s="49"/>
      <c r="G63" s="50"/>
      <c r="H63" s="24" t="str">
        <f t="shared" si="2"/>
        <v/>
      </c>
    </row>
    <row r="64">
      <c r="B64" s="45"/>
      <c r="C64" s="40"/>
      <c r="D64" s="45"/>
      <c r="E64" s="45"/>
      <c r="F64" s="49"/>
      <c r="G64" s="50"/>
      <c r="H64" s="24" t="str">
        <f t="shared" si="2"/>
        <v/>
      </c>
    </row>
    <row r="65">
      <c r="B65" s="45"/>
      <c r="C65" s="40"/>
      <c r="D65" s="45"/>
      <c r="E65" s="45"/>
      <c r="F65" s="49"/>
      <c r="G65" s="50"/>
      <c r="H65" s="24" t="str">
        <f t="shared" si="2"/>
        <v/>
      </c>
    </row>
    <row r="66">
      <c r="B66" s="45"/>
      <c r="C66" s="40"/>
      <c r="D66" s="45"/>
      <c r="E66" s="45"/>
      <c r="F66" s="49"/>
      <c r="G66" s="50"/>
      <c r="H66" s="24" t="str">
        <f t="shared" si="2"/>
        <v/>
      </c>
    </row>
    <row r="67">
      <c r="B67" s="45"/>
      <c r="C67" s="40"/>
      <c r="D67" s="45"/>
      <c r="E67" s="45"/>
      <c r="F67" s="49"/>
      <c r="G67" s="50"/>
      <c r="H67" s="24" t="str">
        <f t="shared" si="2"/>
        <v/>
      </c>
    </row>
    <row r="68">
      <c r="B68" s="45"/>
      <c r="C68" s="40"/>
      <c r="D68" s="45"/>
      <c r="E68" s="45"/>
      <c r="F68" s="49"/>
      <c r="G68" s="50"/>
      <c r="H68" s="24" t="str">
        <f t="shared" si="2"/>
        <v/>
      </c>
    </row>
    <row r="69">
      <c r="B69" s="45"/>
      <c r="C69" s="40"/>
      <c r="D69" s="45"/>
      <c r="E69" s="45"/>
      <c r="F69" s="49"/>
      <c r="G69" s="50"/>
      <c r="H69" s="24" t="str">
        <f t="shared" si="2"/>
        <v/>
      </c>
    </row>
    <row r="70">
      <c r="B70" s="45"/>
      <c r="C70" s="40"/>
      <c r="D70" s="45"/>
      <c r="E70" s="45"/>
      <c r="F70" s="49"/>
      <c r="G70" s="50"/>
      <c r="H70" s="24" t="str">
        <f t="shared" si="2"/>
        <v/>
      </c>
    </row>
    <row r="71">
      <c r="B71" s="45"/>
      <c r="C71" s="40"/>
      <c r="D71" s="45"/>
      <c r="E71" s="45"/>
      <c r="F71" s="49"/>
      <c r="G71" s="50"/>
      <c r="H71" s="24" t="str">
        <f t="shared" si="2"/>
        <v/>
      </c>
    </row>
    <row r="72">
      <c r="B72" s="45"/>
      <c r="C72" s="40"/>
      <c r="D72" s="45"/>
      <c r="E72" s="45"/>
      <c r="F72" s="49"/>
      <c r="G72" s="50"/>
      <c r="H72" s="24" t="str">
        <f t="shared" si="2"/>
        <v/>
      </c>
    </row>
    <row r="73">
      <c r="B73" s="45"/>
      <c r="C73" s="40"/>
      <c r="D73" s="45"/>
      <c r="E73" s="45"/>
      <c r="F73" s="49"/>
      <c r="G73" s="50"/>
      <c r="H73" s="24" t="str">
        <f t="shared" si="2"/>
        <v/>
      </c>
    </row>
    <row r="74">
      <c r="B74" s="45"/>
      <c r="C74" s="40"/>
      <c r="D74" s="45"/>
      <c r="E74" s="45"/>
      <c r="F74" s="49"/>
      <c r="G74" s="50"/>
      <c r="H74" s="24" t="str">
        <f t="shared" si="2"/>
        <v/>
      </c>
    </row>
    <row r="75">
      <c r="B75" s="45"/>
      <c r="C75" s="40"/>
      <c r="D75" s="45"/>
      <c r="E75" s="45"/>
      <c r="F75" s="49"/>
      <c r="G75" s="50"/>
      <c r="H75" s="24" t="str">
        <f t="shared" si="2"/>
        <v/>
      </c>
    </row>
    <row r="76">
      <c r="B76" s="45"/>
      <c r="C76" s="40"/>
      <c r="D76" s="45"/>
      <c r="E76" s="45"/>
      <c r="F76" s="49"/>
      <c r="G76" s="50"/>
      <c r="H76" s="24" t="str">
        <f t="shared" si="2"/>
        <v/>
      </c>
    </row>
    <row r="77">
      <c r="B77" s="45"/>
      <c r="C77" s="40"/>
      <c r="D77" s="45"/>
      <c r="E77" s="45"/>
      <c r="F77" s="49"/>
      <c r="G77" s="50"/>
      <c r="H77" s="24" t="str">
        <f t="shared" si="2"/>
        <v/>
      </c>
    </row>
    <row r="78">
      <c r="B78" s="45"/>
      <c r="C78" s="40"/>
      <c r="D78" s="45"/>
      <c r="E78" s="45"/>
      <c r="F78" s="49"/>
      <c r="G78" s="50"/>
      <c r="H78" s="24" t="str">
        <f t="shared" si="2"/>
        <v/>
      </c>
    </row>
    <row r="79">
      <c r="B79" s="45"/>
      <c r="C79" s="40"/>
      <c r="D79" s="45"/>
      <c r="E79" s="45"/>
      <c r="F79" s="49"/>
      <c r="G79" s="50"/>
      <c r="H79" s="24" t="str">
        <f t="shared" si="2"/>
        <v/>
      </c>
    </row>
    <row r="80">
      <c r="B80" s="45"/>
      <c r="C80" s="40"/>
      <c r="D80" s="45"/>
      <c r="E80" s="45"/>
      <c r="F80" s="49"/>
      <c r="G80" s="50"/>
      <c r="H80" s="24" t="str">
        <f t="shared" si="2"/>
        <v/>
      </c>
    </row>
    <row r="81">
      <c r="B81" s="45"/>
      <c r="C81" s="40"/>
      <c r="D81" s="45"/>
      <c r="E81" s="45"/>
      <c r="F81" s="49"/>
      <c r="G81" s="50"/>
      <c r="H81" s="24" t="str">
        <f t="shared" si="2"/>
        <v/>
      </c>
    </row>
    <row r="82">
      <c r="B82" s="45"/>
      <c r="C82" s="40"/>
      <c r="D82" s="45"/>
      <c r="E82" s="45"/>
      <c r="F82" s="49"/>
      <c r="G82" s="50"/>
      <c r="H82" s="24" t="str">
        <f t="shared" si="2"/>
        <v/>
      </c>
    </row>
    <row r="83">
      <c r="B83" s="45"/>
      <c r="C83" s="40"/>
      <c r="D83" s="45"/>
      <c r="E83" s="45"/>
      <c r="F83" s="49"/>
      <c r="G83" s="50"/>
      <c r="H83" s="24" t="str">
        <f t="shared" si="2"/>
        <v/>
      </c>
    </row>
    <row r="84">
      <c r="B84" s="45"/>
      <c r="C84" s="40"/>
      <c r="D84" s="45"/>
      <c r="E84" s="45"/>
      <c r="F84" s="49"/>
      <c r="G84" s="50"/>
      <c r="H84" s="24" t="str">
        <f t="shared" si="2"/>
        <v/>
      </c>
    </row>
    <row r="85">
      <c r="B85" s="45"/>
      <c r="C85" s="40"/>
      <c r="D85" s="45"/>
      <c r="E85" s="45"/>
      <c r="F85" s="49"/>
      <c r="G85" s="50"/>
      <c r="H85" s="24" t="str">
        <f t="shared" si="2"/>
        <v/>
      </c>
    </row>
    <row r="86">
      <c r="B86" s="45"/>
      <c r="C86" s="40"/>
      <c r="D86" s="45"/>
      <c r="E86" s="45"/>
      <c r="F86" s="49"/>
      <c r="G86" s="50"/>
      <c r="H86" s="24" t="str">
        <f t="shared" si="2"/>
        <v/>
      </c>
    </row>
    <row r="87">
      <c r="B87" s="45"/>
      <c r="C87" s="40"/>
      <c r="D87" s="45"/>
      <c r="E87" s="45"/>
      <c r="F87" s="49"/>
      <c r="G87" s="50"/>
      <c r="H87" s="24" t="str">
        <f t="shared" si="2"/>
        <v/>
      </c>
    </row>
    <row r="88">
      <c r="B88" s="45"/>
      <c r="C88" s="40"/>
      <c r="D88" s="45"/>
      <c r="E88" s="45"/>
      <c r="F88" s="49"/>
      <c r="G88" s="50"/>
      <c r="H88" s="24" t="str">
        <f t="shared" si="2"/>
        <v/>
      </c>
    </row>
    <row r="89">
      <c r="B89" s="45"/>
      <c r="C89" s="40"/>
      <c r="D89" s="45"/>
      <c r="E89" s="45"/>
      <c r="F89" s="49"/>
      <c r="G89" s="50"/>
      <c r="H89" s="24" t="str">
        <f t="shared" si="2"/>
        <v/>
      </c>
    </row>
    <row r="90">
      <c r="B90" s="45"/>
      <c r="C90" s="40"/>
      <c r="D90" s="45"/>
      <c r="E90" s="45"/>
      <c r="F90" s="49"/>
      <c r="G90" s="50"/>
      <c r="H90" s="24" t="str">
        <f t="shared" si="2"/>
        <v/>
      </c>
    </row>
    <row r="91">
      <c r="B91" s="45"/>
      <c r="C91" s="40"/>
      <c r="D91" s="45"/>
      <c r="E91" s="45"/>
      <c r="F91" s="49"/>
      <c r="G91" s="50"/>
      <c r="H91" s="24" t="str">
        <f t="shared" si="2"/>
        <v/>
      </c>
    </row>
    <row r="92">
      <c r="B92" s="45"/>
      <c r="C92" s="40"/>
      <c r="D92" s="45"/>
      <c r="E92" s="45"/>
      <c r="F92" s="49"/>
      <c r="G92" s="50"/>
      <c r="H92" s="24" t="str">
        <f t="shared" si="2"/>
        <v/>
      </c>
    </row>
    <row r="93">
      <c r="B93" s="45"/>
      <c r="C93" s="40"/>
      <c r="D93" s="45"/>
      <c r="E93" s="45"/>
      <c r="F93" s="49"/>
      <c r="G93" s="50"/>
      <c r="H93" s="24" t="str">
        <f t="shared" si="2"/>
        <v/>
      </c>
    </row>
    <row r="94">
      <c r="B94" s="45"/>
      <c r="C94" s="40"/>
      <c r="D94" s="45"/>
      <c r="E94" s="45"/>
      <c r="F94" s="49"/>
      <c r="G94" s="50"/>
      <c r="H94" s="24" t="str">
        <f t="shared" si="2"/>
        <v/>
      </c>
    </row>
    <row r="95">
      <c r="B95" s="45"/>
      <c r="C95" s="40"/>
      <c r="D95" s="45"/>
      <c r="E95" s="45"/>
      <c r="F95" s="49"/>
      <c r="G95" s="50"/>
      <c r="H95" s="24" t="str">
        <f t="shared" si="2"/>
        <v/>
      </c>
    </row>
    <row r="96">
      <c r="B96" s="45"/>
      <c r="C96" s="40"/>
      <c r="D96" s="45"/>
      <c r="E96" s="45"/>
      <c r="F96" s="49"/>
      <c r="G96" s="50"/>
      <c r="H96" s="24" t="str">
        <f t="shared" si="2"/>
        <v/>
      </c>
    </row>
  </sheetData>
  <drawing r:id="rId1"/>
  <tableParts count="1"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.0"/>
    <col customWidth="1" min="2" max="2" width="28.29"/>
    <col customWidth="1" min="3" max="3" width="49.29"/>
    <col customWidth="1" min="4" max="4" width="55.0"/>
    <col customWidth="1" min="5" max="26" width="8.71"/>
  </cols>
  <sheetData>
    <row r="1" ht="30.0" customHeight="1">
      <c r="B1" s="93" t="s">
        <v>138</v>
      </c>
      <c r="C1" s="25"/>
      <c r="D1" s="31"/>
    </row>
    <row r="2" ht="15.75" customHeight="1">
      <c r="B2" s="94" t="s">
        <v>139</v>
      </c>
      <c r="C2" s="25"/>
      <c r="D2" s="31"/>
    </row>
    <row r="3" ht="7.5" customHeight="1"/>
    <row r="4" ht="66.75" customHeight="1">
      <c r="B4" s="95" t="s">
        <v>140</v>
      </c>
      <c r="C4" s="96" t="s">
        <v>141</v>
      </c>
      <c r="D4" s="97" t="s">
        <v>142</v>
      </c>
    </row>
    <row r="5" ht="48.75" customHeight="1">
      <c r="B5" s="95" t="s">
        <v>143</v>
      </c>
      <c r="C5" s="96" t="s">
        <v>144</v>
      </c>
      <c r="D5" s="97" t="s">
        <v>145</v>
      </c>
    </row>
    <row r="6" ht="54.75" customHeight="1">
      <c r="B6" s="95" t="s">
        <v>146</v>
      </c>
      <c r="C6" s="96" t="s">
        <v>147</v>
      </c>
      <c r="D6" s="97" t="s">
        <v>148</v>
      </c>
    </row>
    <row r="7" ht="31.5" customHeight="1">
      <c r="B7" s="95" t="s">
        <v>149</v>
      </c>
      <c r="C7" s="96" t="s">
        <v>150</v>
      </c>
      <c r="D7" s="97" t="s">
        <v>151</v>
      </c>
    </row>
    <row r="8" ht="75.75" customHeight="1">
      <c r="B8" s="99" t="s">
        <v>152</v>
      </c>
      <c r="C8" s="100" t="s">
        <v>153</v>
      </c>
      <c r="D8" s="97" t="s">
        <v>154</v>
      </c>
    </row>
    <row r="9" ht="42.0" customHeight="1">
      <c r="B9" s="99" t="s">
        <v>155</v>
      </c>
      <c r="C9" s="100" t="s">
        <v>156</v>
      </c>
      <c r="D9" s="97" t="s">
        <v>157</v>
      </c>
    </row>
    <row r="10" ht="64.5" customHeight="1">
      <c r="B10" s="101" t="s">
        <v>158</v>
      </c>
      <c r="C10" s="102" t="s">
        <v>159</v>
      </c>
      <c r="D10" s="97" t="s">
        <v>160</v>
      </c>
    </row>
    <row r="11" ht="60.0" customHeight="1">
      <c r="B11" s="101" t="s">
        <v>161</v>
      </c>
      <c r="C11" s="102" t="s">
        <v>162</v>
      </c>
      <c r="D11" s="97" t="s">
        <v>163</v>
      </c>
    </row>
    <row r="12" ht="82.5" customHeight="1">
      <c r="B12" s="103" t="s">
        <v>164</v>
      </c>
      <c r="C12" s="104" t="s">
        <v>165</v>
      </c>
      <c r="D12" s="97" t="s">
        <v>166</v>
      </c>
    </row>
    <row r="13" ht="67.5" customHeight="1">
      <c r="B13" s="103" t="s">
        <v>167</v>
      </c>
      <c r="C13" s="104" t="s">
        <v>168</v>
      </c>
      <c r="D13" s="97" t="s">
        <v>169</v>
      </c>
    </row>
    <row r="14" ht="81.75" customHeight="1">
      <c r="B14" s="105" t="s">
        <v>170</v>
      </c>
      <c r="C14" s="106" t="s">
        <v>171</v>
      </c>
      <c r="D14" s="97" t="s">
        <v>172</v>
      </c>
    </row>
    <row r="15" ht="72.0" customHeight="1">
      <c r="B15" s="107" t="s">
        <v>173</v>
      </c>
      <c r="C15" s="108" t="s">
        <v>174</v>
      </c>
      <c r="D15" s="97" t="s">
        <v>176</v>
      </c>
    </row>
    <row r="16" ht="61.5" customHeight="1">
      <c r="B16" s="101" t="s">
        <v>177</v>
      </c>
      <c r="C16" s="102" t="s">
        <v>178</v>
      </c>
      <c r="D16" s="97" t="s">
        <v>179</v>
      </c>
    </row>
    <row r="17" ht="67.5" customHeight="1">
      <c r="B17" s="107" t="s">
        <v>180</v>
      </c>
      <c r="C17" s="108" t="s">
        <v>181</v>
      </c>
      <c r="D17" s="97" t="s">
        <v>182</v>
      </c>
    </row>
    <row r="18" ht="66.75" customHeight="1">
      <c r="B18" s="103" t="s">
        <v>183</v>
      </c>
      <c r="C18" s="104" t="s">
        <v>184</v>
      </c>
      <c r="D18" s="97" t="s">
        <v>185</v>
      </c>
    </row>
    <row r="20" ht="19.5" customHeight="1">
      <c r="B20" s="111" t="s">
        <v>186</v>
      </c>
      <c r="C20" s="25"/>
      <c r="D20" s="31"/>
    </row>
    <row r="21" ht="18.0" customHeight="1">
      <c r="B21" s="113" t="s">
        <v>6</v>
      </c>
      <c r="C21" s="113" t="s">
        <v>187</v>
      </c>
      <c r="D21" s="113" t="s">
        <v>188</v>
      </c>
    </row>
    <row r="22" ht="16.5" customHeight="1">
      <c r="B22" s="114" t="s">
        <v>95</v>
      </c>
      <c r="C22" s="115" t="s">
        <v>189</v>
      </c>
      <c r="D22" s="116" t="s">
        <v>190</v>
      </c>
    </row>
    <row r="23" ht="16.5" customHeight="1">
      <c r="B23" s="114" t="s">
        <v>65</v>
      </c>
      <c r="C23" s="115" t="s">
        <v>191</v>
      </c>
      <c r="D23" s="116" t="s">
        <v>192</v>
      </c>
    </row>
    <row r="24" ht="16.5" customHeight="1">
      <c r="B24" s="117" t="s">
        <v>193</v>
      </c>
      <c r="C24" s="118" t="s">
        <v>194</v>
      </c>
      <c r="D24" s="116" t="s">
        <v>195</v>
      </c>
    </row>
    <row r="25" ht="16.5" customHeight="1">
      <c r="B25" s="114" t="s">
        <v>196</v>
      </c>
      <c r="C25" s="115" t="s">
        <v>197</v>
      </c>
      <c r="D25" s="116" t="s">
        <v>198</v>
      </c>
    </row>
    <row r="26" ht="16.5" customHeight="1">
      <c r="B26" s="121" t="s">
        <v>86</v>
      </c>
      <c r="C26" s="122" t="s">
        <v>199</v>
      </c>
      <c r="D26" s="116" t="s">
        <v>200</v>
      </c>
    </row>
    <row r="27" ht="16.5" customHeight="1">
      <c r="B27" s="124" t="s">
        <v>201</v>
      </c>
      <c r="C27" s="125" t="s">
        <v>202</v>
      </c>
      <c r="D27" s="116" t="s">
        <v>203</v>
      </c>
    </row>
    <row r="28" ht="16.5" customHeight="1">
      <c r="B28" s="114" t="s">
        <v>119</v>
      </c>
      <c r="C28" s="115" t="s">
        <v>204</v>
      </c>
      <c r="D28" s="116" t="s">
        <v>205</v>
      </c>
    </row>
    <row r="29" ht="16.5" customHeight="1">
      <c r="B29" s="114" t="s">
        <v>118</v>
      </c>
      <c r="C29" s="115" t="s">
        <v>206</v>
      </c>
      <c r="D29" s="116" t="s">
        <v>207</v>
      </c>
    </row>
    <row r="30" ht="16.5" customHeight="1">
      <c r="B30" s="121" t="s">
        <v>43</v>
      </c>
      <c r="C30" s="122" t="s">
        <v>210</v>
      </c>
      <c r="D30" s="116" t="s">
        <v>211</v>
      </c>
    </row>
    <row r="31" ht="16.5" customHeight="1">
      <c r="B31" s="121" t="s">
        <v>110</v>
      </c>
      <c r="C31" s="122" t="s">
        <v>212</v>
      </c>
      <c r="D31" s="116" t="s">
        <v>213</v>
      </c>
    </row>
    <row r="32" ht="16.5" customHeight="1">
      <c r="B32" s="129" t="s">
        <v>215</v>
      </c>
      <c r="C32" s="130" t="s">
        <v>216</v>
      </c>
      <c r="D32" s="116" t="s">
        <v>217</v>
      </c>
    </row>
    <row r="33" ht="16.5" customHeight="1">
      <c r="B33" s="114" t="s">
        <v>53</v>
      </c>
      <c r="C33" s="115" t="s">
        <v>219</v>
      </c>
      <c r="D33" s="116" t="s">
        <v>221</v>
      </c>
    </row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3">
    <mergeCell ref="B1:D1"/>
    <mergeCell ref="B2:D2"/>
    <mergeCell ref="B20:D20"/>
  </mergeCells>
  <printOptions/>
  <pageMargins bottom="1.0" footer="0.0" header="0.0" left="0.75" right="0.75" top="1.0"/>
  <pageSetup paperSize="9" orientation="portrait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126" t="s">
        <v>208</v>
      </c>
      <c r="B1" s="126" t="s">
        <v>209</v>
      </c>
      <c r="C1" s="126" t="s">
        <v>9</v>
      </c>
      <c r="D1" s="126"/>
      <c r="E1" s="126"/>
    </row>
    <row r="2">
      <c r="A2" s="127">
        <v>46165.0</v>
      </c>
      <c r="B2" s="126" t="s">
        <v>214</v>
      </c>
      <c r="C2" s="128">
        <v>10000.0</v>
      </c>
      <c r="D2" s="126"/>
      <c r="E2" s="126"/>
    </row>
    <row r="3">
      <c r="A3" s="127">
        <v>46166.0</v>
      </c>
      <c r="B3" s="126" t="s">
        <v>218</v>
      </c>
      <c r="C3" s="128">
        <v>19000.0</v>
      </c>
      <c r="D3" s="126"/>
      <c r="E3" s="126"/>
    </row>
    <row r="4">
      <c r="A4" s="127">
        <v>46168.0</v>
      </c>
      <c r="B4" s="126" t="s">
        <v>220</v>
      </c>
      <c r="C4" s="131">
        <v>2500.0</v>
      </c>
      <c r="D4" s="126"/>
      <c r="E4" s="126"/>
    </row>
    <row r="5">
      <c r="A5" s="127">
        <v>46169.0</v>
      </c>
      <c r="B5" s="126" t="s">
        <v>222</v>
      </c>
      <c r="C5" s="128">
        <v>29050.0</v>
      </c>
      <c r="D5" s="126"/>
      <c r="E5" s="126"/>
    </row>
    <row r="6">
      <c r="A6" s="127">
        <v>46169.0</v>
      </c>
      <c r="B6" s="126" t="s">
        <v>223</v>
      </c>
      <c r="C6" s="131">
        <v>100.0</v>
      </c>
      <c r="D6" s="126"/>
      <c r="E6" s="126"/>
    </row>
    <row r="7">
      <c r="A7" s="127">
        <v>46169.0</v>
      </c>
      <c r="B7" s="126" t="s">
        <v>224</v>
      </c>
      <c r="C7" s="131">
        <v>300.0</v>
      </c>
      <c r="D7" s="126"/>
      <c r="E7" s="126"/>
    </row>
    <row r="8">
      <c r="A8" s="127">
        <v>46169.0</v>
      </c>
      <c r="B8" s="126" t="s">
        <v>225</v>
      </c>
      <c r="C8" s="131">
        <v>370.0</v>
      </c>
      <c r="D8" s="126"/>
      <c r="E8" s="126"/>
    </row>
    <row r="9">
      <c r="A9" s="127">
        <v>46169.0</v>
      </c>
      <c r="B9" s="126" t="s">
        <v>97</v>
      </c>
      <c r="C9" s="131">
        <v>2494.0</v>
      </c>
      <c r="D9" s="126"/>
      <c r="E9" s="126"/>
    </row>
    <row r="10">
      <c r="A10" s="127">
        <v>46169.0</v>
      </c>
      <c r="B10" s="126" t="s">
        <v>226</v>
      </c>
      <c r="C10" s="131">
        <v>5000.0</v>
      </c>
      <c r="D10" s="126"/>
      <c r="E10" s="126"/>
    </row>
    <row r="11">
      <c r="A11" s="127">
        <v>46169.0</v>
      </c>
      <c r="B11" s="126" t="s">
        <v>227</v>
      </c>
      <c r="C11" s="128">
        <v>29000.0</v>
      </c>
      <c r="D11" s="126" t="s">
        <v>228</v>
      </c>
      <c r="E11" s="131">
        <v>24000.0</v>
      </c>
    </row>
    <row r="12">
      <c r="A12" s="127">
        <v>46169.0</v>
      </c>
      <c r="B12" s="126" t="s">
        <v>229</v>
      </c>
      <c r="C12" s="131">
        <v>400.0</v>
      </c>
      <c r="D12" s="126" t="s">
        <v>230</v>
      </c>
      <c r="E12" s="128">
        <v>53000.0</v>
      </c>
    </row>
    <row r="13">
      <c r="A13" s="127">
        <v>46169.0</v>
      </c>
      <c r="B13" s="126" t="s">
        <v>231</v>
      </c>
      <c r="C13" s="131">
        <v>600.0</v>
      </c>
      <c r="D13" s="126"/>
      <c r="E13" s="126"/>
    </row>
    <row r="14">
      <c r="A14" s="127">
        <v>46170.0</v>
      </c>
      <c r="B14" s="126"/>
      <c r="C14" s="126"/>
      <c r="D14" s="126"/>
      <c r="E14" s="126"/>
    </row>
    <row r="22">
      <c r="A22" s="126" t="s">
        <v>232</v>
      </c>
      <c r="B22" s="126" t="s">
        <v>208</v>
      </c>
      <c r="C22" s="126" t="s">
        <v>233</v>
      </c>
      <c r="D22" s="126" t="s">
        <v>9</v>
      </c>
      <c r="E22" s="126" t="s">
        <v>234</v>
      </c>
    </row>
    <row r="23">
      <c r="A23" s="126" t="s">
        <v>235</v>
      </c>
      <c r="B23" s="126" t="s">
        <v>236</v>
      </c>
      <c r="C23" s="126" t="s">
        <v>237</v>
      </c>
      <c r="D23" s="131">
        <v>3150.0</v>
      </c>
      <c r="E23" s="132">
        <v>46464.0</v>
      </c>
    </row>
    <row r="24">
      <c r="A24" s="126" t="s">
        <v>235</v>
      </c>
      <c r="B24" s="126" t="s">
        <v>236</v>
      </c>
      <c r="C24" s="126" t="s">
        <v>238</v>
      </c>
      <c r="D24" s="131">
        <v>2650.0</v>
      </c>
      <c r="E24" s="132">
        <v>46219.0</v>
      </c>
    </row>
    <row r="25">
      <c r="A25" s="126" t="s">
        <v>235</v>
      </c>
      <c r="B25" s="126" t="s">
        <v>236</v>
      </c>
      <c r="C25" s="126" t="s">
        <v>239</v>
      </c>
      <c r="D25" s="131">
        <v>2600.0</v>
      </c>
      <c r="E25" s="132">
        <v>46828.0</v>
      </c>
    </row>
    <row r="26">
      <c r="A26" s="126" t="s">
        <v>235</v>
      </c>
      <c r="B26" s="126" t="s">
        <v>236</v>
      </c>
      <c r="C26" s="126" t="s">
        <v>240</v>
      </c>
      <c r="D26" s="131">
        <v>2680.0</v>
      </c>
      <c r="E26" s="133">
        <v>46863.0</v>
      </c>
    </row>
    <row r="27">
      <c r="A27" s="126" t="s">
        <v>99</v>
      </c>
      <c r="B27" s="126" t="s">
        <v>241</v>
      </c>
      <c r="C27" s="126" t="s">
        <v>242</v>
      </c>
      <c r="D27" s="131">
        <v>5390.0</v>
      </c>
      <c r="E27" s="132">
        <v>46764.0</v>
      </c>
    </row>
    <row r="28">
      <c r="A28" s="126" t="s">
        <v>99</v>
      </c>
      <c r="B28" s="126" t="s">
        <v>241</v>
      </c>
      <c r="C28" s="126" t="s">
        <v>244</v>
      </c>
      <c r="D28" s="131">
        <v>3235.0</v>
      </c>
      <c r="E28" s="132">
        <v>46673.0</v>
      </c>
    </row>
    <row r="29">
      <c r="A29" s="126" t="s">
        <v>99</v>
      </c>
      <c r="B29" s="126" t="s">
        <v>241</v>
      </c>
      <c r="C29" s="126" t="s">
        <v>245</v>
      </c>
      <c r="D29" s="131">
        <v>1230.0</v>
      </c>
      <c r="E29" s="126" t="s">
        <v>246</v>
      </c>
    </row>
    <row r="30">
      <c r="A30" s="126" t="s">
        <v>247</v>
      </c>
      <c r="B30" s="126"/>
      <c r="C30" s="126" t="s">
        <v>237</v>
      </c>
      <c r="D30" s="134">
        <v>2970.0</v>
      </c>
      <c r="E30" s="126"/>
    </row>
    <row r="31">
      <c r="A31" s="126" t="s">
        <v>247</v>
      </c>
      <c r="B31" s="126"/>
      <c r="C31" s="126" t="s">
        <v>242</v>
      </c>
      <c r="D31" s="134">
        <v>2970.0</v>
      </c>
      <c r="E31" s="126"/>
    </row>
    <row r="32">
      <c r="A32" s="126" t="s">
        <v>248</v>
      </c>
      <c r="B32" s="126" t="s">
        <v>249</v>
      </c>
      <c r="C32" s="126"/>
      <c r="D32" s="131">
        <v>5000.0</v>
      </c>
      <c r="E32" s="126" t="s">
        <v>250</v>
      </c>
    </row>
    <row r="42">
      <c r="A42" s="135" t="s">
        <v>251</v>
      </c>
      <c r="B42" s="126"/>
      <c r="C42" s="126"/>
      <c r="D42" s="126"/>
      <c r="E42" s="126"/>
      <c r="F42" s="126"/>
      <c r="G42" s="126"/>
      <c r="H42" s="126"/>
      <c r="I42" s="126"/>
      <c r="J42" s="126"/>
    </row>
    <row r="43">
      <c r="A43" s="126"/>
      <c r="B43" s="126"/>
      <c r="C43" s="126"/>
      <c r="D43" s="126"/>
      <c r="E43" s="126"/>
      <c r="F43" s="126"/>
      <c r="G43" s="126"/>
      <c r="H43" s="126"/>
      <c r="I43" s="126"/>
      <c r="J43" s="126"/>
    </row>
    <row r="44">
      <c r="A44" s="126"/>
      <c r="B44" s="126"/>
      <c r="C44" s="126"/>
      <c r="D44" s="126"/>
      <c r="E44" s="126"/>
      <c r="F44" s="126"/>
      <c r="G44" s="126"/>
      <c r="H44" s="126"/>
      <c r="I44" s="126"/>
      <c r="J44" s="126"/>
    </row>
    <row r="45">
      <c r="A45" s="136" t="s">
        <v>26</v>
      </c>
      <c r="B45" s="136" t="s">
        <v>252</v>
      </c>
      <c r="C45" s="136" t="s">
        <v>253</v>
      </c>
      <c r="D45" s="136" t="s">
        <v>108</v>
      </c>
      <c r="E45" s="136" t="s">
        <v>254</v>
      </c>
      <c r="F45" s="136" t="s">
        <v>255</v>
      </c>
      <c r="G45" s="136" t="s">
        <v>256</v>
      </c>
      <c r="H45" s="136" t="s">
        <v>257</v>
      </c>
      <c r="I45" s="136" t="s">
        <v>258</v>
      </c>
      <c r="J45" s="136" t="s">
        <v>259</v>
      </c>
    </row>
    <row r="46">
      <c r="A46" s="137" t="s">
        <v>260</v>
      </c>
      <c r="B46" s="138">
        <v>1000000.0</v>
      </c>
      <c r="C46" s="139">
        <v>0.2</v>
      </c>
      <c r="D46" s="138">
        <f>IF(AND(B46&lt;&gt;"", C46&lt;&gt;"", E46&lt;&gt;""), PMT(C46/12, E46, -B46), "")</f>
        <v>26493.88371</v>
      </c>
      <c r="E46" s="140">
        <v>60.0</v>
      </c>
      <c r="F46" s="140">
        <v>0.0</v>
      </c>
      <c r="G46" s="140">
        <f t="shared" ref="G46:G52" si="1">IF(E46="", "", E46 - F46)</f>
        <v>60</v>
      </c>
      <c r="H46" s="138">
        <f t="shared" ref="H46:H52" si="2">IF(D46="", "", D46 * F46)</f>
        <v>0</v>
      </c>
      <c r="I46" s="138">
        <f t="shared" ref="I46:I52" si="3">IF(G46="", "", IFERROR(PV(C46/12, G46, -D46), ""))</f>
        <v>1000000</v>
      </c>
      <c r="J46" s="143">
        <f t="shared" ref="J46:J52" si="4">IF(AND(D46&lt;&gt;"", E46&lt;&gt;""), (D46 * E46) - B46, "")</f>
        <v>589633.0229</v>
      </c>
    </row>
    <row r="47">
      <c r="A47" s="145" t="s">
        <v>262</v>
      </c>
      <c r="B47" s="146">
        <v>596000.0</v>
      </c>
      <c r="C47" s="148">
        <v>0.126</v>
      </c>
      <c r="D47" s="146">
        <f>IF(AND(B47&lt;&gt;"", C47&lt;&gt;"", E47&lt;&gt;""), PMT(C47/12, E47, -B47), 11839)</f>
        <v>11838.71102</v>
      </c>
      <c r="E47" s="152">
        <v>72.0</v>
      </c>
      <c r="F47" s="152">
        <v>52.0</v>
      </c>
      <c r="G47" s="152">
        <f t="shared" si="1"/>
        <v>20</v>
      </c>
      <c r="H47" s="146">
        <f t="shared" si="2"/>
        <v>615612.9729</v>
      </c>
      <c r="I47" s="146">
        <f t="shared" si="3"/>
        <v>212564.401</v>
      </c>
      <c r="J47" s="154">
        <f t="shared" si="4"/>
        <v>256387.1932</v>
      </c>
    </row>
    <row r="48">
      <c r="A48" s="137" t="s">
        <v>276</v>
      </c>
      <c r="B48" s="155"/>
      <c r="C48" s="156"/>
      <c r="D48" s="138">
        <f>IF(AND(B48&lt;&gt;"", C48&lt;&gt;"", E48&lt;&gt;""), PMT(C48/12, E48, -B48), 15250)</f>
        <v>15250</v>
      </c>
      <c r="E48" s="157"/>
      <c r="F48" s="140">
        <v>0.0</v>
      </c>
      <c r="G48" s="157" t="str">
        <f t="shared" si="1"/>
        <v/>
      </c>
      <c r="H48" s="138">
        <f t="shared" si="2"/>
        <v>0</v>
      </c>
      <c r="I48" s="155" t="str">
        <f t="shared" si="3"/>
        <v/>
      </c>
      <c r="J48" s="158" t="str">
        <f t="shared" si="4"/>
        <v/>
      </c>
    </row>
    <row r="49">
      <c r="A49" s="145" t="s">
        <v>61</v>
      </c>
      <c r="B49" s="146">
        <v>97110.0</v>
      </c>
      <c r="C49" s="159"/>
      <c r="D49" s="146">
        <f>IF(AND(B49&lt;&gt;"", C49&lt;&gt;"", E49&lt;&gt;""), PMT(C49/12, E49, -B49), 18972)</f>
        <v>18972</v>
      </c>
      <c r="E49" s="160"/>
      <c r="F49" s="152">
        <v>0.0</v>
      </c>
      <c r="G49" s="160" t="str">
        <f t="shared" si="1"/>
        <v/>
      </c>
      <c r="H49" s="146">
        <f t="shared" si="2"/>
        <v>0</v>
      </c>
      <c r="I49" s="161" t="str">
        <f t="shared" si="3"/>
        <v/>
      </c>
      <c r="J49" s="162" t="str">
        <f t="shared" si="4"/>
        <v/>
      </c>
    </row>
    <row r="50">
      <c r="A50" s="137" t="s">
        <v>302</v>
      </c>
      <c r="B50" s="138">
        <v>83419.0</v>
      </c>
      <c r="C50" s="139">
        <v>0.12</v>
      </c>
      <c r="D50" s="138">
        <f t="shared" ref="D50:D51" si="5">IF(AND(B50&lt;&gt;"", C50&lt;&gt;"", E50&lt;&gt;""), PMT(C50/12, E50, -B50), 4627)</f>
        <v>5087.061453</v>
      </c>
      <c r="E50" s="140">
        <v>18.0</v>
      </c>
      <c r="F50" s="140">
        <v>3.0</v>
      </c>
      <c r="G50" s="140">
        <f t="shared" si="1"/>
        <v>15</v>
      </c>
      <c r="H50" s="138">
        <f t="shared" si="2"/>
        <v>15261.18436</v>
      </c>
      <c r="I50" s="138">
        <f t="shared" si="3"/>
        <v>70532.37421</v>
      </c>
      <c r="J50" s="143">
        <f t="shared" si="4"/>
        <v>8148.106161</v>
      </c>
    </row>
    <row r="51">
      <c r="A51" s="164" t="s">
        <v>304</v>
      </c>
      <c r="B51" s="165">
        <v>149100.0</v>
      </c>
      <c r="C51" s="166">
        <v>0.1</v>
      </c>
      <c r="D51" s="165">
        <f t="shared" si="5"/>
        <v>5637.681256</v>
      </c>
      <c r="E51" s="167">
        <v>30.0</v>
      </c>
      <c r="F51" s="167">
        <v>15.0</v>
      </c>
      <c r="G51" s="167">
        <f t="shared" si="1"/>
        <v>15</v>
      </c>
      <c r="H51" s="165">
        <f t="shared" si="2"/>
        <v>84565.21884</v>
      </c>
      <c r="I51" s="165">
        <f t="shared" si="3"/>
        <v>79184.0856</v>
      </c>
      <c r="J51" s="168">
        <f t="shared" si="4"/>
        <v>20030.43769</v>
      </c>
    </row>
    <row r="52">
      <c r="A52" s="137" t="s">
        <v>306</v>
      </c>
      <c r="B52" s="155"/>
      <c r="C52" s="156"/>
      <c r="D52" s="138">
        <f>IF(AND(B52&lt;&gt;"", C52&lt;&gt;"", E52&lt;&gt;""), PMT(C52/12, E52, -B52), 3850)</f>
        <v>3850</v>
      </c>
      <c r="E52" s="157"/>
      <c r="F52" s="140">
        <v>0.0</v>
      </c>
      <c r="G52" s="157" t="str">
        <f t="shared" si="1"/>
        <v/>
      </c>
      <c r="H52" s="138">
        <f t="shared" si="2"/>
        <v>0</v>
      </c>
      <c r="I52" s="155" t="str">
        <f t="shared" si="3"/>
        <v/>
      </c>
      <c r="J52" s="158" t="str">
        <f t="shared" si="4"/>
        <v/>
      </c>
    </row>
    <row r="61">
      <c r="A61" s="170" t="s">
        <v>208</v>
      </c>
      <c r="B61" s="170" t="s">
        <v>307</v>
      </c>
      <c r="C61" s="170" t="s">
        <v>9</v>
      </c>
      <c r="D61" s="170" t="s">
        <v>308</v>
      </c>
      <c r="E61" s="170" t="s">
        <v>309</v>
      </c>
      <c r="F61" s="170" t="s">
        <v>310</v>
      </c>
      <c r="G61" s="170" t="s">
        <v>9</v>
      </c>
      <c r="H61" s="126"/>
      <c r="I61" s="170" t="s">
        <v>311</v>
      </c>
      <c r="J61" s="126" t="s">
        <v>312</v>
      </c>
    </row>
    <row r="62">
      <c r="A62" s="127">
        <v>46143.0</v>
      </c>
      <c r="B62" s="126" t="s">
        <v>264</v>
      </c>
      <c r="C62" s="171">
        <v>11839.0</v>
      </c>
      <c r="D62" s="172" t="b">
        <v>1</v>
      </c>
      <c r="E62" s="126" t="s">
        <v>313</v>
      </c>
      <c r="F62" s="126" t="s">
        <v>314</v>
      </c>
      <c r="G62" s="171">
        <v>71000.0</v>
      </c>
      <c r="H62" s="126"/>
      <c r="I62" s="170" t="s">
        <v>315</v>
      </c>
      <c r="J62" s="171">
        <f>SUM(C62:C1000)</f>
        <v>84657</v>
      </c>
    </row>
    <row r="63">
      <c r="A63" s="127">
        <v>46144.0</v>
      </c>
      <c r="B63" s="126" t="s">
        <v>319</v>
      </c>
      <c r="C63" s="171">
        <v>3850.0</v>
      </c>
      <c r="D63" s="172" t="b">
        <v>1</v>
      </c>
      <c r="E63" s="126" t="s">
        <v>321</v>
      </c>
      <c r="F63" s="126"/>
      <c r="G63" s="174"/>
      <c r="H63" s="126"/>
      <c r="I63" s="170" t="s">
        <v>257</v>
      </c>
      <c r="J63" s="171">
        <f>SUMIFS(C62:C1000, D62:D1000, TRUE)</f>
        <v>50435</v>
      </c>
    </row>
    <row r="64">
      <c r="A64" s="127">
        <v>46145.0</v>
      </c>
      <c r="B64" s="126" t="s">
        <v>322</v>
      </c>
      <c r="C64" s="171">
        <v>4627.0</v>
      </c>
      <c r="D64" s="172" t="b">
        <v>1</v>
      </c>
      <c r="E64" s="126"/>
      <c r="F64" s="126"/>
      <c r="G64" s="174"/>
      <c r="H64" s="126"/>
      <c r="I64" s="170" t="s">
        <v>323</v>
      </c>
      <c r="J64" s="171">
        <f>SUMIFS(C62:C1000, D62:D1000, FALSE)</f>
        <v>34222</v>
      </c>
    </row>
    <row r="65">
      <c r="A65" s="127">
        <v>46147.0</v>
      </c>
      <c r="B65" s="126" t="s">
        <v>324</v>
      </c>
      <c r="C65" s="171">
        <v>5000.0</v>
      </c>
      <c r="D65" s="172" t="b">
        <v>1</v>
      </c>
      <c r="E65" s="126"/>
      <c r="F65" s="126"/>
      <c r="G65" s="174"/>
      <c r="H65" s="126"/>
      <c r="I65" s="170" t="s">
        <v>325</v>
      </c>
      <c r="J65" s="171">
        <f>SUM(G62:G1000)</f>
        <v>71000</v>
      </c>
    </row>
    <row r="66">
      <c r="A66" s="127">
        <v>46167.0</v>
      </c>
      <c r="B66" s="126" t="s">
        <v>326</v>
      </c>
      <c r="C66" s="171">
        <v>18972.0</v>
      </c>
      <c r="D66" s="172" t="b">
        <v>0</v>
      </c>
      <c r="E66" s="175">
        <v>97110.0</v>
      </c>
      <c r="F66" s="126"/>
      <c r="G66" s="174"/>
      <c r="H66" s="126"/>
      <c r="I66" s="170" t="s">
        <v>327</v>
      </c>
      <c r="J66" s="171">
        <f>J65-J62</f>
        <v>-13657</v>
      </c>
    </row>
    <row r="67">
      <c r="A67" s="127">
        <v>46146.0</v>
      </c>
      <c r="B67" s="126" t="s">
        <v>328</v>
      </c>
      <c r="C67" s="171">
        <v>13625.0</v>
      </c>
      <c r="D67" s="172" t="b">
        <v>1</v>
      </c>
      <c r="E67" s="126" t="s">
        <v>329</v>
      </c>
      <c r="F67" s="126"/>
      <c r="G67" s="174"/>
      <c r="H67" s="126"/>
      <c r="I67" s="126"/>
      <c r="J67" s="126"/>
    </row>
    <row r="68">
      <c r="A68" s="127">
        <v>46145.0</v>
      </c>
      <c r="B68" s="126" t="s">
        <v>330</v>
      </c>
      <c r="C68" s="171">
        <v>2494.0</v>
      </c>
      <c r="D68" s="172" t="b">
        <v>1</v>
      </c>
      <c r="E68" s="126"/>
      <c r="F68" s="126"/>
      <c r="G68" s="174"/>
      <c r="H68" s="126"/>
      <c r="I68" s="126"/>
      <c r="J68" s="126"/>
    </row>
    <row r="69">
      <c r="A69" s="127">
        <v>46144.0</v>
      </c>
      <c r="B69" s="126" t="s">
        <v>331</v>
      </c>
      <c r="C69" s="171">
        <v>4500.0</v>
      </c>
      <c r="D69" s="172" t="b">
        <v>1</v>
      </c>
      <c r="E69" s="126"/>
      <c r="F69" s="126"/>
      <c r="G69" s="174"/>
      <c r="H69" s="126"/>
      <c r="I69" s="126"/>
      <c r="J69" s="126"/>
    </row>
    <row r="70">
      <c r="A70" s="127">
        <v>46152.0</v>
      </c>
      <c r="B70" s="126" t="s">
        <v>332</v>
      </c>
      <c r="C70" s="171">
        <v>1500.0</v>
      </c>
      <c r="D70" s="172" t="b">
        <v>1</v>
      </c>
      <c r="E70" s="126"/>
      <c r="F70" s="126"/>
      <c r="G70" s="174"/>
      <c r="H70" s="126"/>
      <c r="I70" s="126"/>
      <c r="J70" s="126"/>
    </row>
    <row r="71">
      <c r="A71" s="127">
        <v>46152.0</v>
      </c>
      <c r="B71" s="126" t="s">
        <v>333</v>
      </c>
      <c r="C71" s="171">
        <v>3000.0</v>
      </c>
      <c r="D71" s="172" t="b">
        <v>1</v>
      </c>
      <c r="E71" s="126"/>
      <c r="F71" s="126"/>
      <c r="G71" s="174"/>
      <c r="H71" s="126"/>
      <c r="I71" s="126"/>
      <c r="J71" s="126"/>
    </row>
    <row r="72">
      <c r="A72" s="127">
        <v>46157.0</v>
      </c>
      <c r="B72" s="126" t="s">
        <v>334</v>
      </c>
      <c r="C72" s="171">
        <v>15250.0</v>
      </c>
      <c r="D72" s="172" t="b">
        <v>0</v>
      </c>
      <c r="E72" s="126"/>
      <c r="F72" s="126"/>
      <c r="G72" s="174"/>
      <c r="H72" s="126"/>
      <c r="I72" s="126"/>
      <c r="J72" s="126"/>
    </row>
  </sheetData>
  <drawing r:id="rId1"/>
  <tableParts count="1">
    <tablePart r:id="rId3"/>
  </tableParts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6.71"/>
    <col customWidth="1" min="2" max="2" width="39.57"/>
    <col customWidth="1" min="3" max="3" width="19.71"/>
    <col customWidth="1" min="4" max="4" width="41.57"/>
  </cols>
  <sheetData>
    <row r="1">
      <c r="A1" s="142" t="s">
        <v>208</v>
      </c>
      <c r="B1" s="144" t="s">
        <v>261</v>
      </c>
      <c r="C1" s="144" t="s">
        <v>263</v>
      </c>
      <c r="D1" s="144" t="s">
        <v>11</v>
      </c>
    </row>
    <row r="2">
      <c r="A2" s="147">
        <v>46060.0</v>
      </c>
      <c r="B2" s="17" t="s">
        <v>264</v>
      </c>
      <c r="C2" s="150">
        <v>12000.0</v>
      </c>
      <c r="D2" s="17" t="s">
        <v>265</v>
      </c>
    </row>
    <row r="3">
      <c r="A3" s="147">
        <v>46060.0</v>
      </c>
      <c r="B3" s="17" t="s">
        <v>266</v>
      </c>
      <c r="C3" s="17">
        <v>4600.0</v>
      </c>
      <c r="D3" s="17" t="s">
        <v>267</v>
      </c>
    </row>
    <row r="4">
      <c r="A4" s="151">
        <v>46180.0</v>
      </c>
      <c r="B4" s="17" t="s">
        <v>268</v>
      </c>
      <c r="C4" s="17">
        <v>110.0</v>
      </c>
    </row>
    <row r="5">
      <c r="A5" s="151">
        <v>46210.0</v>
      </c>
      <c r="B5" s="17" t="s">
        <v>99</v>
      </c>
      <c r="C5" s="150">
        <v>13600.0</v>
      </c>
      <c r="D5" s="17" t="s">
        <v>269</v>
      </c>
    </row>
    <row r="6">
      <c r="A6" s="151">
        <v>46241.0</v>
      </c>
      <c r="B6" s="17" t="s">
        <v>270</v>
      </c>
      <c r="C6" s="17">
        <v>2700.0</v>
      </c>
    </row>
    <row r="7">
      <c r="A7" s="151">
        <v>46241.0</v>
      </c>
      <c r="B7" s="17" t="s">
        <v>271</v>
      </c>
      <c r="C7" s="17">
        <v>2000.0</v>
      </c>
      <c r="D7" s="17" t="s">
        <v>272</v>
      </c>
    </row>
    <row r="8">
      <c r="A8" s="153" t="s">
        <v>273</v>
      </c>
      <c r="B8" s="17" t="s">
        <v>274</v>
      </c>
      <c r="C8" s="150">
        <v>15500.0</v>
      </c>
      <c r="D8" s="17" t="s">
        <v>275</v>
      </c>
    </row>
    <row r="9">
      <c r="A9" s="153" t="s">
        <v>277</v>
      </c>
      <c r="B9" s="17" t="s">
        <v>278</v>
      </c>
      <c r="C9" s="17">
        <v>2000.0</v>
      </c>
      <c r="D9" s="17"/>
    </row>
    <row r="10">
      <c r="A10" s="153" t="s">
        <v>279</v>
      </c>
      <c r="B10" s="17" t="s">
        <v>280</v>
      </c>
      <c r="C10" s="150">
        <v>18700.0</v>
      </c>
    </row>
    <row r="11">
      <c r="A11" s="153" t="s">
        <v>281</v>
      </c>
      <c r="B11" s="17" t="s">
        <v>282</v>
      </c>
      <c r="C11" s="17">
        <v>4000.0</v>
      </c>
    </row>
    <row r="12">
      <c r="A12" s="153" t="s">
        <v>283</v>
      </c>
      <c r="B12" s="17" t="s">
        <v>284</v>
      </c>
      <c r="C12" s="17">
        <v>3690.0</v>
      </c>
    </row>
    <row r="13">
      <c r="A13" s="153" t="s">
        <v>283</v>
      </c>
      <c r="B13" s="17" t="s">
        <v>285</v>
      </c>
      <c r="C13" s="17">
        <v>5089.0</v>
      </c>
    </row>
    <row r="14">
      <c r="A14" s="153" t="s">
        <v>286</v>
      </c>
      <c r="B14" s="17" t="s">
        <v>287</v>
      </c>
      <c r="C14" s="17">
        <v>5210.0</v>
      </c>
    </row>
    <row r="15">
      <c r="A15" s="153" t="s">
        <v>286</v>
      </c>
      <c r="B15" s="17" t="s">
        <v>278</v>
      </c>
      <c r="C15" s="17">
        <v>1250.0</v>
      </c>
    </row>
    <row r="16">
      <c r="A16" s="153" t="s">
        <v>286</v>
      </c>
      <c r="B16" s="17" t="s">
        <v>288</v>
      </c>
      <c r="C16" s="17">
        <v>1500.0</v>
      </c>
    </row>
    <row r="17">
      <c r="A17" s="153" t="s">
        <v>286</v>
      </c>
      <c r="B17" s="17" t="s">
        <v>289</v>
      </c>
      <c r="C17" s="17">
        <v>320.0</v>
      </c>
    </row>
    <row r="18">
      <c r="A18" s="153" t="s">
        <v>286</v>
      </c>
      <c r="B18" s="17" t="s">
        <v>290</v>
      </c>
      <c r="C18" s="17">
        <v>690.0</v>
      </c>
    </row>
    <row r="19">
      <c r="A19" s="153" t="s">
        <v>291</v>
      </c>
      <c r="D19" s="17" t="s">
        <v>292</v>
      </c>
    </row>
    <row r="20">
      <c r="A20" s="153" t="s">
        <v>293</v>
      </c>
      <c r="B20" s="17" t="s">
        <v>218</v>
      </c>
      <c r="C20" s="150">
        <v>12200.0</v>
      </c>
    </row>
    <row r="21">
      <c r="A21" s="153" t="s">
        <v>294</v>
      </c>
      <c r="B21" s="17" t="s">
        <v>295</v>
      </c>
      <c r="C21" s="17">
        <v>3000.0</v>
      </c>
    </row>
    <row r="22">
      <c r="A22" s="153" t="s">
        <v>296</v>
      </c>
      <c r="B22" s="17" t="s">
        <v>297</v>
      </c>
      <c r="C22" s="150">
        <v>30000.0</v>
      </c>
    </row>
    <row r="23">
      <c r="A23" s="153" t="s">
        <v>296</v>
      </c>
      <c r="B23" s="17" t="s">
        <v>298</v>
      </c>
      <c r="C23" s="17">
        <v>3200.0</v>
      </c>
    </row>
    <row r="24">
      <c r="A24" s="153" t="s">
        <v>299</v>
      </c>
      <c r="B24" s="17" t="s">
        <v>300</v>
      </c>
      <c r="C24" s="17">
        <v>6000.0</v>
      </c>
    </row>
    <row r="25">
      <c r="A25" s="153" t="s">
        <v>301</v>
      </c>
      <c r="B25" s="17" t="s">
        <v>44</v>
      </c>
      <c r="C25" s="17">
        <v>2000.0</v>
      </c>
      <c r="D25" s="17" t="s">
        <v>303</v>
      </c>
    </row>
    <row r="26">
      <c r="A26" s="163"/>
    </row>
    <row r="27">
      <c r="A27" s="163"/>
    </row>
    <row r="28">
      <c r="A28" s="163"/>
    </row>
    <row r="29">
      <c r="A29" s="163"/>
    </row>
    <row r="30">
      <c r="A30" s="163"/>
    </row>
    <row r="31">
      <c r="A31" s="163"/>
    </row>
    <row r="32">
      <c r="A32" s="163"/>
    </row>
    <row r="33">
      <c r="A33" s="163"/>
    </row>
    <row r="34">
      <c r="A34" s="163"/>
    </row>
    <row r="35">
      <c r="A35" s="163"/>
    </row>
    <row r="36">
      <c r="A36" s="163"/>
    </row>
    <row r="37">
      <c r="A37" s="163"/>
    </row>
    <row r="38">
      <c r="A38" s="163"/>
    </row>
    <row r="39">
      <c r="A39" s="163"/>
    </row>
    <row r="40">
      <c r="A40" s="163"/>
    </row>
    <row r="41">
      <c r="A41" s="163"/>
    </row>
    <row r="42">
      <c r="A42" s="163"/>
    </row>
    <row r="43">
      <c r="A43" s="163"/>
    </row>
    <row r="44">
      <c r="A44" s="163"/>
    </row>
    <row r="45">
      <c r="A45" s="163"/>
    </row>
    <row r="46">
      <c r="A46" s="163"/>
    </row>
    <row r="47">
      <c r="A47" s="163"/>
    </row>
    <row r="48">
      <c r="A48" s="163"/>
    </row>
    <row r="49">
      <c r="A49" s="163"/>
    </row>
    <row r="50">
      <c r="A50" s="163"/>
    </row>
    <row r="51">
      <c r="A51" s="163"/>
    </row>
    <row r="52">
      <c r="A52" s="163"/>
    </row>
    <row r="53">
      <c r="A53" s="163"/>
    </row>
    <row r="54">
      <c r="A54" s="163"/>
    </row>
    <row r="55">
      <c r="A55" s="163"/>
    </row>
    <row r="56">
      <c r="A56" s="163"/>
    </row>
    <row r="57">
      <c r="A57" s="163"/>
    </row>
    <row r="58">
      <c r="A58" s="163"/>
    </row>
    <row r="59">
      <c r="A59" s="163"/>
    </row>
    <row r="60">
      <c r="A60" s="163"/>
    </row>
    <row r="61">
      <c r="A61" s="163"/>
    </row>
    <row r="62">
      <c r="A62" s="163"/>
    </row>
    <row r="63">
      <c r="A63" s="163"/>
    </row>
    <row r="64">
      <c r="A64" s="163"/>
    </row>
    <row r="65">
      <c r="A65" s="163"/>
    </row>
    <row r="66">
      <c r="A66" s="163"/>
    </row>
    <row r="67">
      <c r="A67" s="163"/>
    </row>
    <row r="68">
      <c r="A68" s="163"/>
    </row>
    <row r="69">
      <c r="A69" s="163"/>
    </row>
    <row r="70">
      <c r="A70" s="163"/>
    </row>
    <row r="71">
      <c r="A71" s="163"/>
    </row>
    <row r="72">
      <c r="A72" s="163"/>
    </row>
    <row r="73">
      <c r="A73" s="163"/>
    </row>
    <row r="74">
      <c r="A74" s="163"/>
    </row>
    <row r="75">
      <c r="A75" s="163"/>
    </row>
    <row r="76">
      <c r="A76" s="163"/>
    </row>
    <row r="77">
      <c r="A77" s="163"/>
    </row>
    <row r="78">
      <c r="A78" s="163"/>
    </row>
    <row r="79">
      <c r="A79" s="163"/>
    </row>
    <row r="80">
      <c r="A80" s="163"/>
    </row>
    <row r="81">
      <c r="A81" s="163"/>
    </row>
    <row r="82">
      <c r="A82" s="163"/>
    </row>
    <row r="83">
      <c r="A83" s="163"/>
    </row>
    <row r="84">
      <c r="A84" s="163"/>
    </row>
    <row r="85">
      <c r="A85" s="163"/>
    </row>
    <row r="86">
      <c r="A86" s="163"/>
    </row>
    <row r="87">
      <c r="A87" s="163"/>
    </row>
    <row r="88">
      <c r="A88" s="163"/>
    </row>
    <row r="89">
      <c r="A89" s="163"/>
    </row>
    <row r="90">
      <c r="A90" s="163"/>
    </row>
    <row r="91">
      <c r="A91" s="163"/>
    </row>
    <row r="92">
      <c r="A92" s="163"/>
    </row>
    <row r="93">
      <c r="A93" s="163"/>
    </row>
    <row r="94">
      <c r="A94" s="163"/>
    </row>
    <row r="95">
      <c r="A95" s="163"/>
    </row>
    <row r="96">
      <c r="A96" s="163"/>
    </row>
    <row r="97">
      <c r="A97" s="163"/>
    </row>
    <row r="98">
      <c r="A98" s="163"/>
    </row>
    <row r="99">
      <c r="A99" s="163"/>
    </row>
    <row r="100">
      <c r="A100" s="163"/>
    </row>
    <row r="101">
      <c r="A101" s="163"/>
    </row>
    <row r="102">
      <c r="A102" s="163"/>
    </row>
    <row r="103">
      <c r="A103" s="163"/>
    </row>
    <row r="104">
      <c r="A104" s="163"/>
    </row>
    <row r="105">
      <c r="A105" s="163"/>
    </row>
    <row r="106">
      <c r="A106" s="163"/>
    </row>
    <row r="107">
      <c r="A107" s="163"/>
    </row>
    <row r="108">
      <c r="A108" s="163"/>
    </row>
    <row r="109">
      <c r="A109" s="163"/>
    </row>
    <row r="110">
      <c r="A110" s="163"/>
    </row>
    <row r="111">
      <c r="A111" s="163"/>
    </row>
    <row r="112">
      <c r="A112" s="163"/>
    </row>
    <row r="113">
      <c r="A113" s="163"/>
    </row>
    <row r="114">
      <c r="A114" s="163"/>
    </row>
    <row r="115">
      <c r="A115" s="163"/>
    </row>
    <row r="116">
      <c r="A116" s="163"/>
    </row>
    <row r="117">
      <c r="A117" s="163"/>
    </row>
    <row r="118">
      <c r="A118" s="163"/>
    </row>
    <row r="119">
      <c r="A119" s="163"/>
    </row>
    <row r="120">
      <c r="A120" s="163"/>
    </row>
    <row r="121">
      <c r="A121" s="163"/>
    </row>
    <row r="122">
      <c r="A122" s="163"/>
    </row>
    <row r="123">
      <c r="A123" s="163"/>
    </row>
    <row r="124">
      <c r="A124" s="163"/>
    </row>
    <row r="125">
      <c r="A125" s="163"/>
    </row>
    <row r="126">
      <c r="A126" s="163"/>
    </row>
    <row r="127">
      <c r="A127" s="163"/>
    </row>
    <row r="128">
      <c r="A128" s="163"/>
    </row>
    <row r="129">
      <c r="A129" s="163"/>
    </row>
    <row r="130">
      <c r="A130" s="163"/>
    </row>
    <row r="131">
      <c r="A131" s="163"/>
    </row>
    <row r="132">
      <c r="A132" s="163"/>
    </row>
    <row r="133">
      <c r="A133" s="163"/>
    </row>
    <row r="134">
      <c r="A134" s="163"/>
    </row>
    <row r="135">
      <c r="A135" s="163"/>
    </row>
    <row r="136">
      <c r="A136" s="163"/>
    </row>
    <row r="137">
      <c r="A137" s="163"/>
    </row>
    <row r="138">
      <c r="A138" s="163"/>
    </row>
    <row r="139">
      <c r="A139" s="163"/>
    </row>
    <row r="140">
      <c r="A140" s="163"/>
    </row>
    <row r="141">
      <c r="A141" s="163"/>
    </row>
    <row r="142">
      <c r="A142" s="163"/>
    </row>
    <row r="143">
      <c r="A143" s="163"/>
    </row>
    <row r="144">
      <c r="A144" s="163"/>
    </row>
    <row r="145">
      <c r="A145" s="163"/>
    </row>
    <row r="146">
      <c r="A146" s="163"/>
    </row>
    <row r="147">
      <c r="A147" s="163"/>
    </row>
    <row r="148">
      <c r="A148" s="163"/>
    </row>
    <row r="149">
      <c r="A149" s="163"/>
    </row>
    <row r="150">
      <c r="A150" s="163"/>
    </row>
    <row r="151">
      <c r="A151" s="163"/>
    </row>
    <row r="152">
      <c r="A152" s="163"/>
    </row>
    <row r="153">
      <c r="A153" s="163"/>
    </row>
    <row r="154">
      <c r="A154" s="163"/>
    </row>
    <row r="155">
      <c r="A155" s="163"/>
    </row>
    <row r="156">
      <c r="A156" s="163"/>
    </row>
    <row r="157">
      <c r="A157" s="163"/>
    </row>
    <row r="158">
      <c r="A158" s="163"/>
    </row>
    <row r="159">
      <c r="A159" s="163"/>
    </row>
    <row r="160">
      <c r="A160" s="163"/>
    </row>
    <row r="161">
      <c r="A161" s="163"/>
    </row>
    <row r="162">
      <c r="A162" s="163"/>
    </row>
    <row r="163">
      <c r="A163" s="163"/>
    </row>
    <row r="164">
      <c r="A164" s="163"/>
    </row>
    <row r="165">
      <c r="A165" s="163"/>
    </row>
    <row r="166">
      <c r="A166" s="163"/>
    </row>
    <row r="167">
      <c r="A167" s="163"/>
    </row>
    <row r="168">
      <c r="A168" s="163"/>
    </row>
    <row r="169">
      <c r="A169" s="163"/>
    </row>
    <row r="170">
      <c r="A170" s="163"/>
    </row>
    <row r="171">
      <c r="A171" s="163"/>
    </row>
    <row r="172">
      <c r="A172" s="163"/>
    </row>
    <row r="173">
      <c r="A173" s="163"/>
    </row>
    <row r="174">
      <c r="A174" s="163"/>
    </row>
    <row r="175">
      <c r="A175" s="163"/>
    </row>
    <row r="176">
      <c r="A176" s="163"/>
    </row>
    <row r="177">
      <c r="A177" s="163"/>
    </row>
    <row r="178">
      <c r="A178" s="163"/>
    </row>
    <row r="179">
      <c r="A179" s="163"/>
    </row>
    <row r="180">
      <c r="A180" s="163"/>
    </row>
    <row r="181">
      <c r="A181" s="163"/>
    </row>
    <row r="182">
      <c r="A182" s="163"/>
    </row>
    <row r="183">
      <c r="A183" s="163"/>
    </row>
    <row r="184">
      <c r="A184" s="163"/>
    </row>
    <row r="185">
      <c r="A185" s="163"/>
    </row>
    <row r="186">
      <c r="A186" s="163"/>
    </row>
    <row r="187">
      <c r="A187" s="163"/>
    </row>
    <row r="188">
      <c r="A188" s="163"/>
    </row>
    <row r="189">
      <c r="A189" s="163"/>
    </row>
    <row r="190">
      <c r="A190" s="163"/>
    </row>
    <row r="191">
      <c r="A191" s="163"/>
    </row>
    <row r="192">
      <c r="A192" s="163"/>
    </row>
    <row r="193">
      <c r="A193" s="163"/>
    </row>
    <row r="194">
      <c r="A194" s="163"/>
    </row>
    <row r="195">
      <c r="A195" s="163"/>
    </row>
    <row r="196">
      <c r="A196" s="163"/>
    </row>
    <row r="197">
      <c r="A197" s="163"/>
    </row>
    <row r="198">
      <c r="A198" s="163"/>
    </row>
    <row r="199">
      <c r="A199" s="163"/>
    </row>
    <row r="200">
      <c r="A200" s="163"/>
    </row>
    <row r="201">
      <c r="A201" s="163"/>
    </row>
    <row r="202">
      <c r="A202" s="163"/>
    </row>
    <row r="203">
      <c r="A203" s="163"/>
    </row>
    <row r="204">
      <c r="A204" s="163"/>
    </row>
    <row r="205">
      <c r="A205" s="163"/>
    </row>
    <row r="206">
      <c r="A206" s="163"/>
    </row>
    <row r="207">
      <c r="A207" s="163"/>
    </row>
    <row r="208">
      <c r="A208" s="163"/>
    </row>
    <row r="209">
      <c r="A209" s="163"/>
    </row>
    <row r="210">
      <c r="A210" s="163"/>
    </row>
    <row r="211">
      <c r="A211" s="163"/>
    </row>
    <row r="212">
      <c r="A212" s="163"/>
    </row>
    <row r="213">
      <c r="A213" s="163"/>
    </row>
    <row r="214">
      <c r="A214" s="163"/>
    </row>
    <row r="215">
      <c r="A215" s="163"/>
    </row>
    <row r="216">
      <c r="A216" s="163"/>
    </row>
    <row r="217">
      <c r="A217" s="163"/>
    </row>
    <row r="218">
      <c r="A218" s="163"/>
    </row>
    <row r="219">
      <c r="A219" s="163"/>
    </row>
    <row r="220">
      <c r="A220" s="163"/>
    </row>
    <row r="221">
      <c r="A221" s="163"/>
    </row>
    <row r="222">
      <c r="A222" s="163"/>
    </row>
    <row r="223">
      <c r="A223" s="163"/>
    </row>
    <row r="224">
      <c r="A224" s="163"/>
    </row>
    <row r="225">
      <c r="A225" s="163"/>
    </row>
    <row r="226">
      <c r="A226" s="163"/>
    </row>
    <row r="227">
      <c r="A227" s="163"/>
    </row>
    <row r="228">
      <c r="A228" s="163"/>
    </row>
    <row r="229">
      <c r="A229" s="163"/>
    </row>
    <row r="230">
      <c r="A230" s="163"/>
    </row>
    <row r="231">
      <c r="A231" s="163"/>
    </row>
    <row r="232">
      <c r="A232" s="163"/>
    </row>
    <row r="233">
      <c r="A233" s="163"/>
    </row>
    <row r="234">
      <c r="A234" s="163"/>
    </row>
    <row r="235">
      <c r="A235" s="163"/>
    </row>
    <row r="236">
      <c r="A236" s="163"/>
    </row>
    <row r="237">
      <c r="A237" s="163"/>
    </row>
    <row r="238">
      <c r="A238" s="163"/>
    </row>
    <row r="239">
      <c r="A239" s="163"/>
    </row>
    <row r="240">
      <c r="A240" s="163"/>
    </row>
    <row r="241">
      <c r="A241" s="163"/>
    </row>
    <row r="242">
      <c r="A242" s="163"/>
    </row>
    <row r="243">
      <c r="A243" s="163"/>
    </row>
    <row r="244">
      <c r="A244" s="163"/>
    </row>
    <row r="245">
      <c r="A245" s="163"/>
    </row>
    <row r="246">
      <c r="A246" s="163"/>
    </row>
    <row r="247">
      <c r="A247" s="163"/>
    </row>
    <row r="248">
      <c r="A248" s="163"/>
    </row>
    <row r="249">
      <c r="A249" s="163"/>
    </row>
    <row r="250">
      <c r="A250" s="163"/>
    </row>
    <row r="251">
      <c r="A251" s="163"/>
    </row>
    <row r="252">
      <c r="A252" s="163"/>
    </row>
    <row r="253">
      <c r="A253" s="163"/>
    </row>
    <row r="254">
      <c r="A254" s="163"/>
    </row>
    <row r="255">
      <c r="A255" s="163"/>
    </row>
    <row r="256">
      <c r="A256" s="163"/>
    </row>
    <row r="257">
      <c r="A257" s="163"/>
    </row>
    <row r="258">
      <c r="A258" s="163"/>
    </row>
    <row r="259">
      <c r="A259" s="163"/>
    </row>
    <row r="260">
      <c r="A260" s="163"/>
    </row>
    <row r="261">
      <c r="A261" s="163"/>
    </row>
    <row r="262">
      <c r="A262" s="163"/>
    </row>
    <row r="263">
      <c r="A263" s="163"/>
    </row>
    <row r="264">
      <c r="A264" s="163"/>
    </row>
    <row r="265">
      <c r="A265" s="163"/>
    </row>
    <row r="266">
      <c r="A266" s="163"/>
    </row>
    <row r="267">
      <c r="A267" s="163"/>
    </row>
    <row r="268">
      <c r="A268" s="163"/>
    </row>
    <row r="269">
      <c r="A269" s="163"/>
    </row>
    <row r="270">
      <c r="A270" s="163"/>
    </row>
    <row r="271">
      <c r="A271" s="163"/>
    </row>
    <row r="272">
      <c r="A272" s="163"/>
    </row>
    <row r="273">
      <c r="A273" s="163"/>
    </row>
    <row r="274">
      <c r="A274" s="163"/>
    </row>
    <row r="275">
      <c r="A275" s="163"/>
    </row>
    <row r="276">
      <c r="A276" s="163"/>
    </row>
    <row r="277">
      <c r="A277" s="163"/>
    </row>
    <row r="278">
      <c r="A278" s="163"/>
    </row>
    <row r="279">
      <c r="A279" s="163"/>
    </row>
    <row r="280">
      <c r="A280" s="163"/>
    </row>
    <row r="281">
      <c r="A281" s="163"/>
    </row>
    <row r="282">
      <c r="A282" s="163"/>
    </row>
    <row r="283">
      <c r="A283" s="163"/>
    </row>
    <row r="284">
      <c r="A284" s="163"/>
    </row>
    <row r="285">
      <c r="A285" s="163"/>
    </row>
    <row r="286">
      <c r="A286" s="163"/>
    </row>
    <row r="287">
      <c r="A287" s="163"/>
    </row>
    <row r="288">
      <c r="A288" s="163"/>
    </row>
    <row r="289">
      <c r="A289" s="163"/>
    </row>
    <row r="290">
      <c r="A290" s="163"/>
    </row>
    <row r="291">
      <c r="A291" s="163"/>
    </row>
    <row r="292">
      <c r="A292" s="163"/>
    </row>
    <row r="293">
      <c r="A293" s="163"/>
    </row>
    <row r="294">
      <c r="A294" s="163"/>
    </row>
    <row r="295">
      <c r="A295" s="163"/>
    </row>
    <row r="296">
      <c r="A296" s="163"/>
    </row>
    <row r="297">
      <c r="A297" s="163"/>
    </row>
    <row r="298">
      <c r="A298" s="163"/>
    </row>
    <row r="299">
      <c r="A299" s="163"/>
    </row>
    <row r="300">
      <c r="A300" s="163"/>
    </row>
    <row r="301">
      <c r="A301" s="163"/>
    </row>
    <row r="302">
      <c r="A302" s="163"/>
    </row>
    <row r="303">
      <c r="A303" s="163"/>
    </row>
    <row r="304">
      <c r="A304" s="163"/>
    </row>
    <row r="305">
      <c r="A305" s="163"/>
    </row>
    <row r="306">
      <c r="A306" s="163"/>
    </row>
    <row r="307">
      <c r="A307" s="163"/>
    </row>
    <row r="308">
      <c r="A308" s="163"/>
    </row>
    <row r="309">
      <c r="A309" s="163"/>
    </row>
    <row r="310">
      <c r="A310" s="163"/>
    </row>
    <row r="311">
      <c r="A311" s="163"/>
    </row>
    <row r="312">
      <c r="A312" s="163"/>
    </row>
    <row r="313">
      <c r="A313" s="163"/>
    </row>
    <row r="314">
      <c r="A314" s="163"/>
    </row>
    <row r="315">
      <c r="A315" s="163"/>
    </row>
    <row r="316">
      <c r="A316" s="163"/>
    </row>
    <row r="317">
      <c r="A317" s="163"/>
    </row>
    <row r="318">
      <c r="A318" s="163"/>
    </row>
    <row r="319">
      <c r="A319" s="163"/>
    </row>
    <row r="320">
      <c r="A320" s="163"/>
    </row>
    <row r="321">
      <c r="A321" s="163"/>
    </row>
    <row r="322">
      <c r="A322" s="163"/>
    </row>
    <row r="323">
      <c r="A323" s="163"/>
    </row>
    <row r="324">
      <c r="A324" s="163"/>
    </row>
    <row r="325">
      <c r="A325" s="163"/>
    </row>
    <row r="326">
      <c r="A326" s="163"/>
    </row>
    <row r="327">
      <c r="A327" s="163"/>
    </row>
    <row r="328">
      <c r="A328" s="163"/>
    </row>
    <row r="329">
      <c r="A329" s="163"/>
    </row>
    <row r="330">
      <c r="A330" s="163"/>
    </row>
    <row r="331">
      <c r="A331" s="163"/>
    </row>
    <row r="332">
      <c r="A332" s="163"/>
    </row>
    <row r="333">
      <c r="A333" s="163"/>
    </row>
    <row r="334">
      <c r="A334" s="163"/>
    </row>
    <row r="335">
      <c r="A335" s="163"/>
    </row>
    <row r="336">
      <c r="A336" s="163"/>
    </row>
    <row r="337">
      <c r="A337" s="163"/>
    </row>
    <row r="338">
      <c r="A338" s="163"/>
    </row>
    <row r="339">
      <c r="A339" s="163"/>
    </row>
    <row r="340">
      <c r="A340" s="163"/>
    </row>
    <row r="341">
      <c r="A341" s="163"/>
    </row>
    <row r="342">
      <c r="A342" s="163"/>
    </row>
    <row r="343">
      <c r="A343" s="163"/>
    </row>
    <row r="344">
      <c r="A344" s="163"/>
    </row>
    <row r="345">
      <c r="A345" s="163"/>
    </row>
    <row r="346">
      <c r="A346" s="163"/>
    </row>
    <row r="347">
      <c r="A347" s="163"/>
    </row>
    <row r="348">
      <c r="A348" s="163"/>
    </row>
    <row r="349">
      <c r="A349" s="163"/>
    </row>
    <row r="350">
      <c r="A350" s="163"/>
    </row>
    <row r="351">
      <c r="A351" s="163"/>
    </row>
    <row r="352">
      <c r="A352" s="163"/>
    </row>
    <row r="353">
      <c r="A353" s="163"/>
    </row>
    <row r="354">
      <c r="A354" s="163"/>
    </row>
    <row r="355">
      <c r="A355" s="163"/>
    </row>
    <row r="356">
      <c r="A356" s="163"/>
    </row>
    <row r="357">
      <c r="A357" s="163"/>
    </row>
    <row r="358">
      <c r="A358" s="163"/>
    </row>
    <row r="359">
      <c r="A359" s="163"/>
    </row>
    <row r="360">
      <c r="A360" s="163"/>
    </row>
    <row r="361">
      <c r="A361" s="163"/>
    </row>
    <row r="362">
      <c r="A362" s="163"/>
    </row>
    <row r="363">
      <c r="A363" s="163"/>
    </row>
    <row r="364">
      <c r="A364" s="163"/>
    </row>
    <row r="365">
      <c r="A365" s="163"/>
    </row>
    <row r="366">
      <c r="A366" s="163"/>
    </row>
    <row r="367">
      <c r="A367" s="163"/>
    </row>
    <row r="368">
      <c r="A368" s="163"/>
    </row>
    <row r="369">
      <c r="A369" s="163"/>
    </row>
    <row r="370">
      <c r="A370" s="163"/>
    </row>
    <row r="371">
      <c r="A371" s="163"/>
    </row>
    <row r="372">
      <c r="A372" s="163"/>
    </row>
    <row r="373">
      <c r="A373" s="163"/>
    </row>
    <row r="374">
      <c r="A374" s="163"/>
    </row>
    <row r="375">
      <c r="A375" s="163"/>
    </row>
    <row r="376">
      <c r="A376" s="163"/>
    </row>
    <row r="377">
      <c r="A377" s="163"/>
    </row>
    <row r="378">
      <c r="A378" s="163"/>
    </row>
    <row r="379">
      <c r="A379" s="163"/>
    </row>
    <row r="380">
      <c r="A380" s="163"/>
    </row>
    <row r="381">
      <c r="A381" s="163"/>
    </row>
    <row r="382">
      <c r="A382" s="163"/>
    </row>
    <row r="383">
      <c r="A383" s="163"/>
    </row>
    <row r="384">
      <c r="A384" s="163"/>
    </row>
    <row r="385">
      <c r="A385" s="163"/>
    </row>
    <row r="386">
      <c r="A386" s="163"/>
    </row>
    <row r="387">
      <c r="A387" s="163"/>
    </row>
    <row r="388">
      <c r="A388" s="163"/>
    </row>
    <row r="389">
      <c r="A389" s="163"/>
    </row>
    <row r="390">
      <c r="A390" s="163"/>
    </row>
    <row r="391">
      <c r="A391" s="163"/>
    </row>
    <row r="392">
      <c r="A392" s="163"/>
    </row>
    <row r="393">
      <c r="A393" s="163"/>
    </row>
    <row r="394">
      <c r="A394" s="163"/>
    </row>
    <row r="395">
      <c r="A395" s="163"/>
    </row>
    <row r="396">
      <c r="A396" s="163"/>
    </row>
    <row r="397">
      <c r="A397" s="163"/>
    </row>
    <row r="398">
      <c r="A398" s="163"/>
    </row>
    <row r="399">
      <c r="A399" s="163"/>
    </row>
    <row r="400">
      <c r="A400" s="163"/>
    </row>
    <row r="401">
      <c r="A401" s="163"/>
    </row>
    <row r="402">
      <c r="A402" s="163"/>
    </row>
    <row r="403">
      <c r="A403" s="163"/>
    </row>
    <row r="404">
      <c r="A404" s="163"/>
    </row>
    <row r="405">
      <c r="A405" s="163"/>
    </row>
    <row r="406">
      <c r="A406" s="163"/>
    </row>
    <row r="407">
      <c r="A407" s="163"/>
    </row>
    <row r="408">
      <c r="A408" s="163"/>
    </row>
    <row r="409">
      <c r="A409" s="163"/>
    </row>
    <row r="410">
      <c r="A410" s="163"/>
    </row>
    <row r="411">
      <c r="A411" s="163"/>
    </row>
    <row r="412">
      <c r="A412" s="163"/>
    </row>
    <row r="413">
      <c r="A413" s="163"/>
    </row>
    <row r="414">
      <c r="A414" s="163"/>
    </row>
    <row r="415">
      <c r="A415" s="163"/>
    </row>
    <row r="416">
      <c r="A416" s="163"/>
    </row>
    <row r="417">
      <c r="A417" s="163"/>
    </row>
    <row r="418">
      <c r="A418" s="163"/>
    </row>
    <row r="419">
      <c r="A419" s="163"/>
    </row>
    <row r="420">
      <c r="A420" s="163"/>
    </row>
    <row r="421">
      <c r="A421" s="163"/>
    </row>
    <row r="422">
      <c r="A422" s="163"/>
    </row>
    <row r="423">
      <c r="A423" s="163"/>
    </row>
    <row r="424">
      <c r="A424" s="163"/>
    </row>
    <row r="425">
      <c r="A425" s="163"/>
    </row>
    <row r="426">
      <c r="A426" s="163"/>
    </row>
    <row r="427">
      <c r="A427" s="163"/>
    </row>
    <row r="428">
      <c r="A428" s="163"/>
    </row>
    <row r="429">
      <c r="A429" s="163"/>
    </row>
    <row r="430">
      <c r="A430" s="163"/>
    </row>
    <row r="431">
      <c r="A431" s="163"/>
    </row>
    <row r="432">
      <c r="A432" s="163"/>
    </row>
    <row r="433">
      <c r="A433" s="163"/>
    </row>
    <row r="434">
      <c r="A434" s="163"/>
    </row>
    <row r="435">
      <c r="A435" s="163"/>
    </row>
    <row r="436">
      <c r="A436" s="163"/>
    </row>
    <row r="437">
      <c r="A437" s="163"/>
    </row>
    <row r="438">
      <c r="A438" s="163"/>
    </row>
    <row r="439">
      <c r="A439" s="163"/>
    </row>
    <row r="440">
      <c r="A440" s="163"/>
    </row>
    <row r="441">
      <c r="A441" s="163"/>
    </row>
    <row r="442">
      <c r="A442" s="163"/>
    </row>
    <row r="443">
      <c r="A443" s="163"/>
    </row>
    <row r="444">
      <c r="A444" s="163"/>
    </row>
    <row r="445">
      <c r="A445" s="163"/>
    </row>
    <row r="446">
      <c r="A446" s="163"/>
    </row>
    <row r="447">
      <c r="A447" s="163"/>
    </row>
    <row r="448">
      <c r="A448" s="163"/>
    </row>
    <row r="449">
      <c r="A449" s="163"/>
    </row>
    <row r="450">
      <c r="A450" s="163"/>
    </row>
    <row r="451">
      <c r="A451" s="163"/>
    </row>
    <row r="452">
      <c r="A452" s="163"/>
    </row>
    <row r="453">
      <c r="A453" s="163"/>
    </row>
    <row r="454">
      <c r="A454" s="163"/>
    </row>
    <row r="455">
      <c r="A455" s="163"/>
    </row>
    <row r="456">
      <c r="A456" s="163"/>
    </row>
    <row r="457">
      <c r="A457" s="163"/>
    </row>
    <row r="458">
      <c r="A458" s="163"/>
    </row>
    <row r="459">
      <c r="A459" s="163"/>
    </row>
    <row r="460">
      <c r="A460" s="163"/>
    </row>
    <row r="461">
      <c r="A461" s="163"/>
    </row>
    <row r="462">
      <c r="A462" s="163"/>
    </row>
    <row r="463">
      <c r="A463" s="163"/>
    </row>
    <row r="464">
      <c r="A464" s="163"/>
    </row>
    <row r="465">
      <c r="A465" s="163"/>
    </row>
    <row r="466">
      <c r="A466" s="163"/>
    </row>
    <row r="467">
      <c r="A467" s="163"/>
    </row>
    <row r="468">
      <c r="A468" s="163"/>
    </row>
    <row r="469">
      <c r="A469" s="163"/>
    </row>
    <row r="470">
      <c r="A470" s="163"/>
    </row>
    <row r="471">
      <c r="A471" s="163"/>
    </row>
    <row r="472">
      <c r="A472" s="163"/>
    </row>
    <row r="473">
      <c r="A473" s="163"/>
    </row>
    <row r="474">
      <c r="A474" s="163"/>
    </row>
    <row r="475">
      <c r="A475" s="163"/>
    </row>
    <row r="476">
      <c r="A476" s="163"/>
    </row>
    <row r="477">
      <c r="A477" s="163"/>
    </row>
    <row r="478">
      <c r="A478" s="163"/>
    </row>
    <row r="479">
      <c r="A479" s="163"/>
    </row>
    <row r="480">
      <c r="A480" s="163"/>
    </row>
    <row r="481">
      <c r="A481" s="163"/>
    </row>
    <row r="482">
      <c r="A482" s="163"/>
    </row>
    <row r="483">
      <c r="A483" s="163"/>
    </row>
    <row r="484">
      <c r="A484" s="163"/>
    </row>
    <row r="485">
      <c r="A485" s="163"/>
    </row>
    <row r="486">
      <c r="A486" s="163"/>
    </row>
    <row r="487">
      <c r="A487" s="163"/>
    </row>
    <row r="488">
      <c r="A488" s="163"/>
    </row>
    <row r="489">
      <c r="A489" s="163"/>
    </row>
    <row r="490">
      <c r="A490" s="163"/>
    </row>
    <row r="491">
      <c r="A491" s="163"/>
    </row>
    <row r="492">
      <c r="A492" s="163"/>
    </row>
    <row r="493">
      <c r="A493" s="163"/>
    </row>
    <row r="494">
      <c r="A494" s="163"/>
    </row>
    <row r="495">
      <c r="A495" s="163"/>
    </row>
    <row r="496">
      <c r="A496" s="163"/>
    </row>
    <row r="497">
      <c r="A497" s="163"/>
    </row>
    <row r="498">
      <c r="A498" s="163"/>
    </row>
    <row r="499">
      <c r="A499" s="163"/>
    </row>
    <row r="500">
      <c r="A500" s="163"/>
    </row>
    <row r="501">
      <c r="A501" s="163"/>
    </row>
    <row r="502">
      <c r="A502" s="163"/>
    </row>
    <row r="503">
      <c r="A503" s="163"/>
    </row>
    <row r="504">
      <c r="A504" s="163"/>
    </row>
    <row r="505">
      <c r="A505" s="163"/>
    </row>
    <row r="506">
      <c r="A506" s="163"/>
    </row>
    <row r="507">
      <c r="A507" s="163"/>
    </row>
    <row r="508">
      <c r="A508" s="163"/>
    </row>
    <row r="509">
      <c r="A509" s="163"/>
    </row>
    <row r="510">
      <c r="A510" s="163"/>
    </row>
    <row r="511">
      <c r="A511" s="163"/>
    </row>
    <row r="512">
      <c r="A512" s="163"/>
    </row>
    <row r="513">
      <c r="A513" s="163"/>
    </row>
    <row r="514">
      <c r="A514" s="163"/>
    </row>
    <row r="515">
      <c r="A515" s="163"/>
    </row>
    <row r="516">
      <c r="A516" s="163"/>
    </row>
    <row r="517">
      <c r="A517" s="163"/>
    </row>
    <row r="518">
      <c r="A518" s="163"/>
    </row>
    <row r="519">
      <c r="A519" s="163"/>
    </row>
    <row r="520">
      <c r="A520" s="163"/>
    </row>
    <row r="521">
      <c r="A521" s="163"/>
    </row>
    <row r="522">
      <c r="A522" s="163"/>
    </row>
    <row r="523">
      <c r="A523" s="163"/>
    </row>
    <row r="524">
      <c r="A524" s="163"/>
    </row>
    <row r="525">
      <c r="A525" s="163"/>
    </row>
    <row r="526">
      <c r="A526" s="163"/>
    </row>
    <row r="527">
      <c r="A527" s="163"/>
    </row>
    <row r="528">
      <c r="A528" s="163"/>
    </row>
    <row r="529">
      <c r="A529" s="163"/>
    </row>
    <row r="530">
      <c r="A530" s="163"/>
    </row>
    <row r="531">
      <c r="A531" s="163"/>
    </row>
    <row r="532">
      <c r="A532" s="163"/>
    </row>
    <row r="533">
      <c r="A533" s="163"/>
    </row>
    <row r="534">
      <c r="A534" s="163"/>
    </row>
    <row r="535">
      <c r="A535" s="163"/>
    </row>
    <row r="536">
      <c r="A536" s="163"/>
    </row>
    <row r="537">
      <c r="A537" s="163"/>
    </row>
    <row r="538">
      <c r="A538" s="163"/>
    </row>
    <row r="539">
      <c r="A539" s="163"/>
    </row>
    <row r="540">
      <c r="A540" s="163"/>
    </row>
    <row r="541">
      <c r="A541" s="163"/>
    </row>
    <row r="542">
      <c r="A542" s="163"/>
    </row>
    <row r="543">
      <c r="A543" s="163"/>
    </row>
    <row r="544">
      <c r="A544" s="163"/>
    </row>
    <row r="545">
      <c r="A545" s="163"/>
    </row>
    <row r="546">
      <c r="A546" s="163"/>
    </row>
    <row r="547">
      <c r="A547" s="163"/>
    </row>
    <row r="548">
      <c r="A548" s="163"/>
    </row>
    <row r="549">
      <c r="A549" s="163"/>
    </row>
    <row r="550">
      <c r="A550" s="163"/>
    </row>
    <row r="551">
      <c r="A551" s="163"/>
    </row>
    <row r="552">
      <c r="A552" s="163"/>
    </row>
    <row r="553">
      <c r="A553" s="163"/>
    </row>
    <row r="554">
      <c r="A554" s="163"/>
    </row>
    <row r="555">
      <c r="A555" s="163"/>
    </row>
    <row r="556">
      <c r="A556" s="163"/>
    </row>
    <row r="557">
      <c r="A557" s="163"/>
    </row>
    <row r="558">
      <c r="A558" s="163"/>
    </row>
    <row r="559">
      <c r="A559" s="163"/>
    </row>
    <row r="560">
      <c r="A560" s="163"/>
    </row>
    <row r="561">
      <c r="A561" s="163"/>
    </row>
    <row r="562">
      <c r="A562" s="163"/>
    </row>
    <row r="563">
      <c r="A563" s="163"/>
    </row>
    <row r="564">
      <c r="A564" s="163"/>
    </row>
    <row r="565">
      <c r="A565" s="163"/>
    </row>
    <row r="566">
      <c r="A566" s="163"/>
    </row>
    <row r="567">
      <c r="A567" s="163"/>
    </row>
    <row r="568">
      <c r="A568" s="163"/>
    </row>
    <row r="569">
      <c r="A569" s="163"/>
    </row>
    <row r="570">
      <c r="A570" s="163"/>
    </row>
    <row r="571">
      <c r="A571" s="163"/>
    </row>
    <row r="572">
      <c r="A572" s="163"/>
    </row>
    <row r="573">
      <c r="A573" s="163"/>
    </row>
    <row r="574">
      <c r="A574" s="163"/>
    </row>
    <row r="575">
      <c r="A575" s="163"/>
    </row>
    <row r="576">
      <c r="A576" s="163"/>
    </row>
    <row r="577">
      <c r="A577" s="163"/>
    </row>
    <row r="578">
      <c r="A578" s="163"/>
    </row>
    <row r="579">
      <c r="A579" s="163"/>
    </row>
    <row r="580">
      <c r="A580" s="163"/>
    </row>
    <row r="581">
      <c r="A581" s="163"/>
    </row>
    <row r="582">
      <c r="A582" s="163"/>
    </row>
    <row r="583">
      <c r="A583" s="163"/>
    </row>
    <row r="584">
      <c r="A584" s="163"/>
    </row>
    <row r="585">
      <c r="A585" s="163"/>
    </row>
    <row r="586">
      <c r="A586" s="163"/>
    </row>
    <row r="587">
      <c r="A587" s="163"/>
    </row>
    <row r="588">
      <c r="A588" s="163"/>
    </row>
    <row r="589">
      <c r="A589" s="163"/>
    </row>
    <row r="590">
      <c r="A590" s="163"/>
    </row>
    <row r="591">
      <c r="A591" s="163"/>
    </row>
    <row r="592">
      <c r="A592" s="163"/>
    </row>
    <row r="593">
      <c r="A593" s="163"/>
    </row>
    <row r="594">
      <c r="A594" s="163"/>
    </row>
    <row r="595">
      <c r="A595" s="163"/>
    </row>
    <row r="596">
      <c r="A596" s="163"/>
    </row>
    <row r="597">
      <c r="A597" s="163"/>
    </row>
    <row r="598">
      <c r="A598" s="163"/>
    </row>
    <row r="599">
      <c r="A599" s="163"/>
    </row>
    <row r="600">
      <c r="A600" s="163"/>
    </row>
    <row r="601">
      <c r="A601" s="163"/>
    </row>
    <row r="602">
      <c r="A602" s="163"/>
    </row>
    <row r="603">
      <c r="A603" s="163"/>
    </row>
    <row r="604">
      <c r="A604" s="163"/>
    </row>
    <row r="605">
      <c r="A605" s="163"/>
    </row>
    <row r="606">
      <c r="A606" s="163"/>
    </row>
    <row r="607">
      <c r="A607" s="163"/>
    </row>
    <row r="608">
      <c r="A608" s="163"/>
    </row>
    <row r="609">
      <c r="A609" s="163"/>
    </row>
    <row r="610">
      <c r="A610" s="163"/>
    </row>
    <row r="611">
      <c r="A611" s="163"/>
    </row>
    <row r="612">
      <c r="A612" s="163"/>
    </row>
    <row r="613">
      <c r="A613" s="163"/>
    </row>
    <row r="614">
      <c r="A614" s="163"/>
    </row>
    <row r="615">
      <c r="A615" s="163"/>
    </row>
    <row r="616">
      <c r="A616" s="163"/>
    </row>
    <row r="617">
      <c r="A617" s="163"/>
    </row>
    <row r="618">
      <c r="A618" s="163"/>
    </row>
    <row r="619">
      <c r="A619" s="163"/>
    </row>
    <row r="620">
      <c r="A620" s="163"/>
    </row>
    <row r="621">
      <c r="A621" s="163"/>
    </row>
    <row r="622">
      <c r="A622" s="163"/>
    </row>
    <row r="623">
      <c r="A623" s="163"/>
    </row>
    <row r="624">
      <c r="A624" s="163"/>
    </row>
    <row r="625">
      <c r="A625" s="163"/>
    </row>
    <row r="626">
      <c r="A626" s="163"/>
    </row>
    <row r="627">
      <c r="A627" s="163"/>
    </row>
    <row r="628">
      <c r="A628" s="163"/>
    </row>
    <row r="629">
      <c r="A629" s="163"/>
    </row>
    <row r="630">
      <c r="A630" s="163"/>
    </row>
    <row r="631">
      <c r="A631" s="163"/>
    </row>
    <row r="632">
      <c r="A632" s="163"/>
    </row>
    <row r="633">
      <c r="A633" s="163"/>
    </row>
    <row r="634">
      <c r="A634" s="163"/>
    </row>
    <row r="635">
      <c r="A635" s="163"/>
    </row>
    <row r="636">
      <c r="A636" s="163"/>
    </row>
    <row r="637">
      <c r="A637" s="163"/>
    </row>
    <row r="638">
      <c r="A638" s="163"/>
    </row>
    <row r="639">
      <c r="A639" s="163"/>
    </row>
    <row r="640">
      <c r="A640" s="163"/>
    </row>
    <row r="641">
      <c r="A641" s="163"/>
    </row>
    <row r="642">
      <c r="A642" s="163"/>
    </row>
    <row r="643">
      <c r="A643" s="163"/>
    </row>
    <row r="644">
      <c r="A644" s="163"/>
    </row>
    <row r="645">
      <c r="A645" s="163"/>
    </row>
    <row r="646">
      <c r="A646" s="163"/>
    </row>
    <row r="647">
      <c r="A647" s="163"/>
    </row>
    <row r="648">
      <c r="A648" s="163"/>
    </row>
    <row r="649">
      <c r="A649" s="163"/>
    </row>
    <row r="650">
      <c r="A650" s="163"/>
    </row>
    <row r="651">
      <c r="A651" s="163"/>
    </row>
    <row r="652">
      <c r="A652" s="163"/>
    </row>
    <row r="653">
      <c r="A653" s="163"/>
    </row>
    <row r="654">
      <c r="A654" s="163"/>
    </row>
    <row r="655">
      <c r="A655" s="163"/>
    </row>
    <row r="656">
      <c r="A656" s="163"/>
    </row>
    <row r="657">
      <c r="A657" s="163"/>
    </row>
    <row r="658">
      <c r="A658" s="163"/>
    </row>
    <row r="659">
      <c r="A659" s="163"/>
    </row>
    <row r="660">
      <c r="A660" s="163"/>
    </row>
    <row r="661">
      <c r="A661" s="163"/>
    </row>
    <row r="662">
      <c r="A662" s="163"/>
    </row>
    <row r="663">
      <c r="A663" s="163"/>
    </row>
    <row r="664">
      <c r="A664" s="163"/>
    </row>
    <row r="665">
      <c r="A665" s="163"/>
    </row>
    <row r="666">
      <c r="A666" s="163"/>
    </row>
    <row r="667">
      <c r="A667" s="163"/>
    </row>
    <row r="668">
      <c r="A668" s="163"/>
    </row>
    <row r="669">
      <c r="A669" s="163"/>
    </row>
    <row r="670">
      <c r="A670" s="163"/>
    </row>
    <row r="671">
      <c r="A671" s="163"/>
    </row>
    <row r="672">
      <c r="A672" s="163"/>
    </row>
    <row r="673">
      <c r="A673" s="163"/>
    </row>
    <row r="674">
      <c r="A674" s="163"/>
    </row>
    <row r="675">
      <c r="A675" s="163"/>
    </row>
    <row r="676">
      <c r="A676" s="163"/>
    </row>
    <row r="677">
      <c r="A677" s="163"/>
    </row>
    <row r="678">
      <c r="A678" s="163"/>
    </row>
    <row r="679">
      <c r="A679" s="163"/>
    </row>
    <row r="680">
      <c r="A680" s="163"/>
    </row>
    <row r="681">
      <c r="A681" s="163"/>
    </row>
    <row r="682">
      <c r="A682" s="163"/>
    </row>
    <row r="683">
      <c r="A683" s="163"/>
    </row>
    <row r="684">
      <c r="A684" s="163"/>
    </row>
    <row r="685">
      <c r="A685" s="163"/>
    </row>
    <row r="686">
      <c r="A686" s="163"/>
    </row>
    <row r="687">
      <c r="A687" s="163"/>
    </row>
    <row r="688">
      <c r="A688" s="163"/>
    </row>
    <row r="689">
      <c r="A689" s="163"/>
    </row>
    <row r="690">
      <c r="A690" s="163"/>
    </row>
    <row r="691">
      <c r="A691" s="163"/>
    </row>
    <row r="692">
      <c r="A692" s="163"/>
    </row>
    <row r="693">
      <c r="A693" s="163"/>
    </row>
    <row r="694">
      <c r="A694" s="163"/>
    </row>
    <row r="695">
      <c r="A695" s="163"/>
    </row>
    <row r="696">
      <c r="A696" s="163"/>
    </row>
    <row r="697">
      <c r="A697" s="163"/>
    </row>
    <row r="698">
      <c r="A698" s="163"/>
    </row>
    <row r="699">
      <c r="A699" s="163"/>
    </row>
    <row r="700">
      <c r="A700" s="163"/>
    </row>
    <row r="701">
      <c r="A701" s="163"/>
    </row>
    <row r="702">
      <c r="A702" s="163"/>
    </row>
    <row r="703">
      <c r="A703" s="163"/>
    </row>
    <row r="704">
      <c r="A704" s="163"/>
    </row>
    <row r="705">
      <c r="A705" s="163"/>
    </row>
    <row r="706">
      <c r="A706" s="163"/>
    </row>
    <row r="707">
      <c r="A707" s="163"/>
    </row>
    <row r="708">
      <c r="A708" s="163"/>
    </row>
    <row r="709">
      <c r="A709" s="163"/>
    </row>
    <row r="710">
      <c r="A710" s="163"/>
    </row>
    <row r="711">
      <c r="A711" s="163"/>
    </row>
    <row r="712">
      <c r="A712" s="163"/>
    </row>
    <row r="713">
      <c r="A713" s="163"/>
    </row>
    <row r="714">
      <c r="A714" s="163"/>
    </row>
    <row r="715">
      <c r="A715" s="163"/>
    </row>
    <row r="716">
      <c r="A716" s="163"/>
    </row>
    <row r="717">
      <c r="A717" s="163"/>
    </row>
    <row r="718">
      <c r="A718" s="163"/>
    </row>
    <row r="719">
      <c r="A719" s="163"/>
    </row>
    <row r="720">
      <c r="A720" s="163"/>
    </row>
    <row r="721">
      <c r="A721" s="163"/>
    </row>
    <row r="722">
      <c r="A722" s="163"/>
    </row>
    <row r="723">
      <c r="A723" s="163"/>
    </row>
    <row r="724">
      <c r="A724" s="163"/>
    </row>
    <row r="725">
      <c r="A725" s="163"/>
    </row>
    <row r="726">
      <c r="A726" s="163"/>
    </row>
    <row r="727">
      <c r="A727" s="163"/>
    </row>
    <row r="728">
      <c r="A728" s="163"/>
    </row>
    <row r="729">
      <c r="A729" s="163"/>
    </row>
    <row r="730">
      <c r="A730" s="163"/>
    </row>
    <row r="731">
      <c r="A731" s="163"/>
    </row>
    <row r="732">
      <c r="A732" s="163"/>
    </row>
    <row r="733">
      <c r="A733" s="163"/>
    </row>
    <row r="734">
      <c r="A734" s="163"/>
    </row>
    <row r="735">
      <c r="A735" s="163"/>
    </row>
    <row r="736">
      <c r="A736" s="163"/>
    </row>
    <row r="737">
      <c r="A737" s="163"/>
    </row>
    <row r="738">
      <c r="A738" s="163"/>
    </row>
    <row r="739">
      <c r="A739" s="163"/>
    </row>
    <row r="740">
      <c r="A740" s="163"/>
    </row>
    <row r="741">
      <c r="A741" s="163"/>
    </row>
    <row r="742">
      <c r="A742" s="163"/>
    </row>
    <row r="743">
      <c r="A743" s="163"/>
    </row>
    <row r="744">
      <c r="A744" s="163"/>
    </row>
    <row r="745">
      <c r="A745" s="163"/>
    </row>
    <row r="746">
      <c r="A746" s="163"/>
    </row>
    <row r="747">
      <c r="A747" s="163"/>
    </row>
    <row r="748">
      <c r="A748" s="163"/>
    </row>
    <row r="749">
      <c r="A749" s="163"/>
    </row>
    <row r="750">
      <c r="A750" s="163"/>
    </row>
    <row r="751">
      <c r="A751" s="163"/>
    </row>
    <row r="752">
      <c r="A752" s="163"/>
    </row>
    <row r="753">
      <c r="A753" s="163"/>
    </row>
    <row r="754">
      <c r="A754" s="163"/>
    </row>
    <row r="755">
      <c r="A755" s="163"/>
    </row>
    <row r="756">
      <c r="A756" s="163"/>
    </row>
    <row r="757">
      <c r="A757" s="163"/>
    </row>
    <row r="758">
      <c r="A758" s="163"/>
    </row>
    <row r="759">
      <c r="A759" s="163"/>
    </row>
    <row r="760">
      <c r="A760" s="163"/>
    </row>
    <row r="761">
      <c r="A761" s="163"/>
    </row>
    <row r="762">
      <c r="A762" s="163"/>
    </row>
    <row r="763">
      <c r="A763" s="163"/>
    </row>
    <row r="764">
      <c r="A764" s="163"/>
    </row>
    <row r="765">
      <c r="A765" s="163"/>
    </row>
    <row r="766">
      <c r="A766" s="163"/>
    </row>
    <row r="767">
      <c r="A767" s="163"/>
    </row>
    <row r="768">
      <c r="A768" s="163"/>
    </row>
    <row r="769">
      <c r="A769" s="163"/>
    </row>
    <row r="770">
      <c r="A770" s="163"/>
    </row>
    <row r="771">
      <c r="A771" s="163"/>
    </row>
    <row r="772">
      <c r="A772" s="163"/>
    </row>
    <row r="773">
      <c r="A773" s="163"/>
    </row>
    <row r="774">
      <c r="A774" s="163"/>
    </row>
    <row r="775">
      <c r="A775" s="163"/>
    </row>
    <row r="776">
      <c r="A776" s="163"/>
    </row>
    <row r="777">
      <c r="A777" s="163"/>
    </row>
    <row r="778">
      <c r="A778" s="163"/>
    </row>
    <row r="779">
      <c r="A779" s="163"/>
    </row>
    <row r="780">
      <c r="A780" s="163"/>
    </row>
    <row r="781">
      <c r="A781" s="163"/>
    </row>
    <row r="782">
      <c r="A782" s="163"/>
    </row>
    <row r="783">
      <c r="A783" s="163"/>
    </row>
    <row r="784">
      <c r="A784" s="163"/>
    </row>
    <row r="785">
      <c r="A785" s="163"/>
    </row>
    <row r="786">
      <c r="A786" s="163"/>
    </row>
    <row r="787">
      <c r="A787" s="163"/>
    </row>
    <row r="788">
      <c r="A788" s="163"/>
    </row>
    <row r="789">
      <c r="A789" s="163"/>
    </row>
    <row r="790">
      <c r="A790" s="163"/>
    </row>
    <row r="791">
      <c r="A791" s="163"/>
    </row>
    <row r="792">
      <c r="A792" s="163"/>
    </row>
    <row r="793">
      <c r="A793" s="163"/>
    </row>
    <row r="794">
      <c r="A794" s="163"/>
    </row>
    <row r="795">
      <c r="A795" s="163"/>
    </row>
    <row r="796">
      <c r="A796" s="163"/>
    </row>
    <row r="797">
      <c r="A797" s="163"/>
    </row>
    <row r="798">
      <c r="A798" s="163"/>
    </row>
    <row r="799">
      <c r="A799" s="163"/>
    </row>
    <row r="800">
      <c r="A800" s="163"/>
    </row>
    <row r="801">
      <c r="A801" s="163"/>
    </row>
    <row r="802">
      <c r="A802" s="163"/>
    </row>
    <row r="803">
      <c r="A803" s="163"/>
    </row>
    <row r="804">
      <c r="A804" s="163"/>
    </row>
    <row r="805">
      <c r="A805" s="163"/>
    </row>
    <row r="806">
      <c r="A806" s="163"/>
    </row>
    <row r="807">
      <c r="A807" s="163"/>
    </row>
    <row r="808">
      <c r="A808" s="163"/>
    </row>
    <row r="809">
      <c r="A809" s="163"/>
    </row>
    <row r="810">
      <c r="A810" s="163"/>
    </row>
    <row r="811">
      <c r="A811" s="163"/>
    </row>
    <row r="812">
      <c r="A812" s="163"/>
    </row>
    <row r="813">
      <c r="A813" s="163"/>
    </row>
    <row r="814">
      <c r="A814" s="163"/>
    </row>
    <row r="815">
      <c r="A815" s="163"/>
    </row>
    <row r="816">
      <c r="A816" s="163"/>
    </row>
    <row r="817">
      <c r="A817" s="163"/>
    </row>
    <row r="818">
      <c r="A818" s="163"/>
    </row>
    <row r="819">
      <c r="A819" s="163"/>
    </row>
    <row r="820">
      <c r="A820" s="163"/>
    </row>
    <row r="821">
      <c r="A821" s="163"/>
    </row>
    <row r="822">
      <c r="A822" s="163"/>
    </row>
    <row r="823">
      <c r="A823" s="163"/>
    </row>
    <row r="824">
      <c r="A824" s="163"/>
    </row>
    <row r="825">
      <c r="A825" s="163"/>
    </row>
    <row r="826">
      <c r="A826" s="163"/>
    </row>
    <row r="827">
      <c r="A827" s="163"/>
    </row>
    <row r="828">
      <c r="A828" s="163"/>
    </row>
    <row r="829">
      <c r="A829" s="163"/>
    </row>
    <row r="830">
      <c r="A830" s="163"/>
    </row>
    <row r="831">
      <c r="A831" s="163"/>
    </row>
    <row r="832">
      <c r="A832" s="163"/>
    </row>
    <row r="833">
      <c r="A833" s="163"/>
    </row>
    <row r="834">
      <c r="A834" s="163"/>
    </row>
    <row r="835">
      <c r="A835" s="163"/>
    </row>
    <row r="836">
      <c r="A836" s="163"/>
    </row>
    <row r="837">
      <c r="A837" s="163"/>
    </row>
    <row r="838">
      <c r="A838" s="163"/>
    </row>
    <row r="839">
      <c r="A839" s="163"/>
    </row>
    <row r="840">
      <c r="A840" s="163"/>
    </row>
    <row r="841">
      <c r="A841" s="163"/>
    </row>
    <row r="842">
      <c r="A842" s="163"/>
    </row>
    <row r="843">
      <c r="A843" s="163"/>
    </row>
    <row r="844">
      <c r="A844" s="163"/>
    </row>
    <row r="845">
      <c r="A845" s="163"/>
    </row>
    <row r="846">
      <c r="A846" s="163"/>
    </row>
    <row r="847">
      <c r="A847" s="163"/>
    </row>
    <row r="848">
      <c r="A848" s="163"/>
    </row>
    <row r="849">
      <c r="A849" s="163"/>
    </row>
    <row r="850">
      <c r="A850" s="163"/>
    </row>
    <row r="851">
      <c r="A851" s="163"/>
    </row>
    <row r="852">
      <c r="A852" s="163"/>
    </row>
    <row r="853">
      <c r="A853" s="163"/>
    </row>
    <row r="854">
      <c r="A854" s="163"/>
    </row>
    <row r="855">
      <c r="A855" s="163"/>
    </row>
    <row r="856">
      <c r="A856" s="163"/>
    </row>
    <row r="857">
      <c r="A857" s="163"/>
    </row>
    <row r="858">
      <c r="A858" s="163"/>
    </row>
    <row r="859">
      <c r="A859" s="163"/>
    </row>
    <row r="860">
      <c r="A860" s="163"/>
    </row>
    <row r="861">
      <c r="A861" s="163"/>
    </row>
    <row r="862">
      <c r="A862" s="163"/>
    </row>
    <row r="863">
      <c r="A863" s="163"/>
    </row>
    <row r="864">
      <c r="A864" s="163"/>
    </row>
    <row r="865">
      <c r="A865" s="163"/>
    </row>
    <row r="866">
      <c r="A866" s="163"/>
    </row>
    <row r="867">
      <c r="A867" s="163"/>
    </row>
    <row r="868">
      <c r="A868" s="163"/>
    </row>
    <row r="869">
      <c r="A869" s="163"/>
    </row>
    <row r="870">
      <c r="A870" s="163"/>
    </row>
    <row r="871">
      <c r="A871" s="163"/>
    </row>
    <row r="872">
      <c r="A872" s="163"/>
    </row>
    <row r="873">
      <c r="A873" s="163"/>
    </row>
    <row r="874">
      <c r="A874" s="163"/>
    </row>
    <row r="875">
      <c r="A875" s="163"/>
    </row>
    <row r="876">
      <c r="A876" s="163"/>
    </row>
    <row r="877">
      <c r="A877" s="163"/>
    </row>
    <row r="878">
      <c r="A878" s="163"/>
    </row>
    <row r="879">
      <c r="A879" s="163"/>
    </row>
    <row r="880">
      <c r="A880" s="163"/>
    </row>
    <row r="881">
      <c r="A881" s="163"/>
    </row>
    <row r="882">
      <c r="A882" s="163"/>
    </row>
    <row r="883">
      <c r="A883" s="163"/>
    </row>
    <row r="884">
      <c r="A884" s="163"/>
    </row>
    <row r="885">
      <c r="A885" s="163"/>
    </row>
    <row r="886">
      <c r="A886" s="163"/>
    </row>
    <row r="887">
      <c r="A887" s="163"/>
    </row>
    <row r="888">
      <c r="A888" s="163"/>
    </row>
    <row r="889">
      <c r="A889" s="163"/>
    </row>
    <row r="890">
      <c r="A890" s="163"/>
    </row>
    <row r="891">
      <c r="A891" s="163"/>
    </row>
    <row r="892">
      <c r="A892" s="163"/>
    </row>
    <row r="893">
      <c r="A893" s="163"/>
    </row>
    <row r="894">
      <c r="A894" s="163"/>
    </row>
    <row r="895">
      <c r="A895" s="163"/>
    </row>
    <row r="896">
      <c r="A896" s="163"/>
    </row>
    <row r="897">
      <c r="A897" s="163"/>
    </row>
    <row r="898">
      <c r="A898" s="163"/>
    </row>
    <row r="899">
      <c r="A899" s="163"/>
    </row>
    <row r="900">
      <c r="A900" s="163"/>
    </row>
    <row r="901">
      <c r="A901" s="163"/>
    </row>
    <row r="902">
      <c r="A902" s="163"/>
    </row>
    <row r="903">
      <c r="A903" s="163"/>
    </row>
    <row r="904">
      <c r="A904" s="163"/>
    </row>
    <row r="905">
      <c r="A905" s="163"/>
    </row>
    <row r="906">
      <c r="A906" s="163"/>
    </row>
    <row r="907">
      <c r="A907" s="163"/>
    </row>
    <row r="908">
      <c r="A908" s="163"/>
    </row>
    <row r="909">
      <c r="A909" s="163"/>
    </row>
    <row r="910">
      <c r="A910" s="163"/>
    </row>
    <row r="911">
      <c r="A911" s="163"/>
    </row>
    <row r="912">
      <c r="A912" s="163"/>
    </row>
    <row r="913">
      <c r="A913" s="163"/>
    </row>
    <row r="914">
      <c r="A914" s="163"/>
    </row>
    <row r="915">
      <c r="A915" s="163"/>
    </row>
    <row r="916">
      <c r="A916" s="163"/>
    </row>
    <row r="917">
      <c r="A917" s="163"/>
    </row>
    <row r="918">
      <c r="A918" s="163"/>
    </row>
    <row r="919">
      <c r="A919" s="163"/>
    </row>
    <row r="920">
      <c r="A920" s="163"/>
    </row>
    <row r="921">
      <c r="A921" s="163"/>
    </row>
    <row r="922">
      <c r="A922" s="163"/>
    </row>
    <row r="923">
      <c r="A923" s="163"/>
    </row>
    <row r="924">
      <c r="A924" s="163"/>
    </row>
    <row r="925">
      <c r="A925" s="163"/>
    </row>
    <row r="926">
      <c r="A926" s="163"/>
    </row>
    <row r="927">
      <c r="A927" s="163"/>
    </row>
    <row r="928">
      <c r="A928" s="163"/>
    </row>
    <row r="929">
      <c r="A929" s="163"/>
    </row>
    <row r="930">
      <c r="A930" s="163"/>
    </row>
    <row r="931">
      <c r="A931" s="163"/>
    </row>
    <row r="932">
      <c r="A932" s="163"/>
    </row>
    <row r="933">
      <c r="A933" s="163"/>
    </row>
    <row r="934">
      <c r="A934" s="163"/>
    </row>
    <row r="935">
      <c r="A935" s="163"/>
    </row>
    <row r="936">
      <c r="A936" s="163"/>
    </row>
    <row r="937">
      <c r="A937" s="163"/>
    </row>
    <row r="938">
      <c r="A938" s="163"/>
    </row>
    <row r="939">
      <c r="A939" s="163"/>
    </row>
    <row r="940">
      <c r="A940" s="163"/>
    </row>
    <row r="941">
      <c r="A941" s="163"/>
    </row>
    <row r="942">
      <c r="A942" s="163"/>
    </row>
    <row r="943">
      <c r="A943" s="163"/>
    </row>
    <row r="944">
      <c r="A944" s="163"/>
    </row>
    <row r="945">
      <c r="A945" s="163"/>
    </row>
    <row r="946">
      <c r="A946" s="163"/>
    </row>
    <row r="947">
      <c r="A947" s="163"/>
    </row>
    <row r="948">
      <c r="A948" s="163"/>
    </row>
    <row r="949">
      <c r="A949" s="163"/>
    </row>
    <row r="950">
      <c r="A950" s="163"/>
    </row>
    <row r="951">
      <c r="A951" s="163"/>
    </row>
    <row r="952">
      <c r="A952" s="163"/>
    </row>
    <row r="953">
      <c r="A953" s="163"/>
    </row>
    <row r="954">
      <c r="A954" s="163"/>
    </row>
    <row r="955">
      <c r="A955" s="163"/>
    </row>
    <row r="956">
      <c r="A956" s="163"/>
    </row>
    <row r="957">
      <c r="A957" s="163"/>
    </row>
    <row r="958">
      <c r="A958" s="163"/>
    </row>
    <row r="959">
      <c r="A959" s="163"/>
    </row>
    <row r="960">
      <c r="A960" s="163"/>
    </row>
    <row r="961">
      <c r="A961" s="163"/>
    </row>
    <row r="962">
      <c r="A962" s="163"/>
    </row>
    <row r="963">
      <c r="A963" s="163"/>
    </row>
    <row r="964">
      <c r="A964" s="163"/>
    </row>
    <row r="965">
      <c r="A965" s="163"/>
    </row>
    <row r="966">
      <c r="A966" s="163"/>
    </row>
    <row r="967">
      <c r="A967" s="163"/>
    </row>
    <row r="968">
      <c r="A968" s="163"/>
    </row>
    <row r="969">
      <c r="A969" s="163"/>
    </row>
    <row r="970">
      <c r="A970" s="163"/>
    </row>
    <row r="971">
      <c r="A971" s="163"/>
    </row>
    <row r="972">
      <c r="A972" s="163"/>
    </row>
    <row r="973">
      <c r="A973" s="163"/>
    </row>
    <row r="974">
      <c r="A974" s="163"/>
    </row>
    <row r="975">
      <c r="A975" s="163"/>
    </row>
    <row r="976">
      <c r="A976" s="163"/>
    </row>
    <row r="977">
      <c r="A977" s="163"/>
    </row>
    <row r="978">
      <c r="A978" s="163"/>
    </row>
    <row r="979">
      <c r="A979" s="163"/>
    </row>
    <row r="980">
      <c r="A980" s="163"/>
    </row>
    <row r="981">
      <c r="A981" s="163"/>
    </row>
    <row r="982">
      <c r="A982" s="163"/>
    </row>
    <row r="983">
      <c r="A983" s="163"/>
    </row>
    <row r="984">
      <c r="A984" s="163"/>
    </row>
    <row r="985">
      <c r="A985" s="163"/>
    </row>
    <row r="986">
      <c r="A986" s="163"/>
    </row>
    <row r="987">
      <c r="A987" s="163"/>
    </row>
    <row r="988">
      <c r="A988" s="163"/>
    </row>
    <row r="989">
      <c r="A989" s="163"/>
    </row>
    <row r="990">
      <c r="A990" s="163"/>
    </row>
    <row r="991">
      <c r="A991" s="163"/>
    </row>
    <row r="992">
      <c r="A992" s="163"/>
    </row>
    <row r="993">
      <c r="A993" s="163"/>
    </row>
    <row r="994">
      <c r="A994" s="163"/>
    </row>
    <row r="995">
      <c r="A995" s="163"/>
    </row>
    <row r="996">
      <c r="A996" s="163"/>
    </row>
    <row r="997">
      <c r="A997" s="163"/>
    </row>
    <row r="998">
      <c r="A998" s="163"/>
    </row>
    <row r="999">
      <c r="A999" s="163"/>
    </row>
    <row r="1000">
      <c r="A1000" s="163"/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3" max="3" width="39.57"/>
    <col customWidth="1" min="5" max="5" width="19.0"/>
  </cols>
  <sheetData>
    <row r="1">
      <c r="A1" s="144" t="s">
        <v>316</v>
      </c>
      <c r="B1" s="144" t="s">
        <v>317</v>
      </c>
      <c r="C1" s="144" t="s">
        <v>318</v>
      </c>
      <c r="D1" s="144" t="s">
        <v>9</v>
      </c>
      <c r="E1" s="144" t="s">
        <v>320</v>
      </c>
    </row>
  </sheetData>
  <drawing r:id="rId1"/>
</worksheet>
</file>