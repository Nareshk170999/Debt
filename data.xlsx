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<sst xmlns="http://schemas.openxmlformats.org/spreadsheetml/2006/main" count="503" uniqueCount="382">
  <si>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</si>
  <si>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</si>
  <si>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Gold Loan Tracker</t>
  </si>
  <si>
    <t>Amount (₹)</t>
  </si>
  <si>
    <t>Naresh</t>
  </si>
  <si>
    <t>Gram</t>
  </si>
  <si>
    <t>Interest in Bank</t>
  </si>
  <si>
    <t>Bank Name</t>
  </si>
  <si>
    <t>Account Holder</t>
  </si>
  <si>
    <t>Loan Amount</t>
  </si>
  <si>
    <t>Veera</t>
  </si>
  <si>
    <t>Date of Kept</t>
  </si>
  <si>
    <t>Interest to Pay</t>
  </si>
  <si>
    <t>Monthly Life Expenses</t>
  </si>
  <si>
    <t>Total Income</t>
  </si>
  <si>
    <t>Month-by-Month Payment View — May 2026 to Dec 2030</t>
  </si>
  <si>
    <t>Month</t>
  </si>
  <si>
    <t>CUB</t>
  </si>
  <si>
    <t>Mani Mozhi</t>
  </si>
  <si>
    <t>Category</t>
  </si>
  <si>
    <t>Amount</t>
  </si>
  <si>
    <t>Notes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</si>
  <si>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</si>
  <si>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</si>
  <si>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</si>
  <si>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</si>
  <si>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</si>
  <si>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</si>
  <si>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</si>
  <si>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TO Amma</t>
  </si>
  <si>
    <t>Krishnamoorthy</t>
  </si>
  <si>
    <t>₹26,494</t>
  </si>
  <si>
    <t>Personal</t>
  </si>
  <si>
    <t>SivaPriya</t>
  </si>
  <si>
    <t>Apr 2031</t>
  </si>
  <si>
    <t>Siva Priya Loan</t>
  </si>
  <si>
    <t>20% rate – highest cost loan</t>
  </si>
  <si>
    <t>APPA</t>
  </si>
  <si>
    <t>NareshKumar</t>
  </si>
  <si>
    <t>Income</t>
  </si>
  <si>
    <t>AMMA</t>
  </si>
  <si>
    <t>SBI Personal
(SivaPriya)</t>
  </si>
  <si>
    <t>Jan 2028</t>
  </si>
  <si>
    <t>21 EMIs left</t>
  </si>
  <si>
    <t>Equitas Home
(Appa)</t>
  </si>
  <si>
    <t>Total EMI</t>
  </si>
  <si>
    <t>Expenses</t>
  </si>
  <si>
    <t>Free Cash</t>
  </si>
  <si>
    <t>Events</t>
  </si>
  <si>
    <t>Credit Card</t>
  </si>
  <si>
    <t>TVS Excel
(Appa)</t>
  </si>
  <si>
    <t>DIO Loan</t>
  </si>
  <si>
    <t>Samasta 1</t>
  </si>
  <si>
    <t>Samasta 2</t>
  </si>
  <si>
    <t>Home Loan</t>
  </si>
  <si>
    <t>Samasta 3</t>
  </si>
  <si>
    <t>HOME EXPENSE</t>
  </si>
  <si>
    <t>Samasta 4</t>
  </si>
  <si>
    <t>Dec 2030</t>
  </si>
  <si>
    <t>ESAF 1</t>
  </si>
  <si>
    <t>ESAF 2</t>
  </si>
  <si>
    <t xml:space="preserve">GRINDER &amp; FAN </t>
  </si>
  <si>
    <t>ESAF 3</t>
  </si>
  <si>
    <t>EMI FROM JULY 1740</t>
  </si>
  <si>
    <t>Aasirvad 1</t>
  </si>
  <si>
    <t>No prepayment penalty!</t>
  </si>
  <si>
    <t>Aasirvad 1 2</t>
  </si>
  <si>
    <t>Other Loan</t>
  </si>
  <si>
    <t>EMI</t>
  </si>
  <si>
    <t>Jun 2026</t>
  </si>
  <si>
    <t>Thandal</t>
  </si>
  <si>
    <t>From Raghuls 6250                           2 June</t>
  </si>
  <si>
    <t>D Mart</t>
  </si>
  <si>
    <t>Oct 2026</t>
  </si>
  <si>
    <t>Naresh gave 11,000.                     6/2/2026</t>
  </si>
  <si>
    <t>Urgent – 36-48% interest!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</si>
  <si>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</si>
  <si>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</si>
  <si>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</si>
  <si>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</si>
  <si>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</si>
  <si>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</si>
  <si>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Vehicle</t>
  </si>
  <si>
    <t>Veera Scooty EMI</t>
  </si>
  <si>
    <t xml:space="preserve">எண்ணெய் செட்டியார் </t>
  </si>
  <si>
    <t>Jul 2027</t>
  </si>
  <si>
    <t xml:space="preserve">Plumper </t>
  </si>
  <si>
    <t>15 EMIs left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</si>
  <si>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</si>
  <si>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</si>
  <si>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</si>
  <si>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</si>
  <si>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</si>
  <si>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</si>
  <si>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</si>
  <si>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</si>
  <si>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Microfinance</t>
  </si>
  <si>
    <t xml:space="preserve">Scooty service </t>
  </si>
  <si>
    <t xml:space="preserve">From Gold Loan.                                 8 June </t>
  </si>
  <si>
    <t>Mar 2027</t>
  </si>
  <si>
    <t>Veera Dress</t>
  </si>
  <si>
    <t>ESAF</t>
  </si>
  <si>
    <t>3rd Thu every month</t>
  </si>
  <si>
    <t xml:space="preserve">10,000 from Naresh </t>
  </si>
  <si>
    <t>Net Recharge</t>
  </si>
  <si>
    <t>Appa</t>
  </si>
  <si>
    <t>AMMA - Microloan</t>
  </si>
  <si>
    <t>Jul 2026</t>
  </si>
  <si>
    <t>Cylinder</t>
  </si>
  <si>
    <t>Ends Jul 2026 – almost done!</t>
  </si>
  <si>
    <t>Other loan</t>
  </si>
  <si>
    <t>Mar 2028</t>
  </si>
  <si>
    <t>Movie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</si>
  <si>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</si>
  <si>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</si>
  <si>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</si>
  <si>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</si>
  <si>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</si>
  <si>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</si>
  <si>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</si>
  <si>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</si>
  <si>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</si>
  <si>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</si>
  <si>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</si>
  <si>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</si>
  <si>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</si>
  <si>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</si>
  <si>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</si>
  <si>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Samasta 2 closes ✓</t>
  </si>
  <si>
    <t>TOTAL EMI / MONTH</t>
  </si>
  <si>
    <t>FREE CASH AFTER EMIs</t>
  </si>
  <si>
    <t>COLOR LEGEND</t>
  </si>
  <si>
    <t>Credit Card — URGENT (36-48% interest)</t>
  </si>
  <si>
    <t>Personal Loans</t>
  </si>
  <si>
    <t>Aug 2026</t>
  </si>
  <si>
    <t>Home Loan (no prepayment penalty)</t>
  </si>
  <si>
    <t>Vehicle Loans</t>
  </si>
  <si>
    <t>Microfinance / Small Loans</t>
  </si>
  <si>
    <t>Sep 2026</t>
  </si>
  <si>
    <t>Credit Card closes ✓</t>
  </si>
  <si>
    <t>Nov 2026</t>
  </si>
  <si>
    <t>Dec 2026</t>
  </si>
  <si>
    <t>Date</t>
  </si>
  <si>
    <t>Tips to Close All Loans Faster</t>
  </si>
  <si>
    <t xml:space="preserve">Category Expense </t>
  </si>
  <si>
    <t>Follow these steps in order — highest impact first</t>
  </si>
  <si>
    <t xml:space="preserve">Amount </t>
  </si>
  <si>
    <t>Expense</t>
  </si>
  <si>
    <t>Sivapriya Loan</t>
  </si>
  <si>
    <t>Amma</t>
  </si>
  <si>
    <t>20,000 from Naresh</t>
  </si>
  <si>
    <t>1</t>
  </si>
  <si>
    <t xml:space="preserve">Excel EMI </t>
  </si>
  <si>
    <t>Balance-4k Appa</t>
  </si>
  <si>
    <t xml:space="preserve">Credit card </t>
  </si>
  <si>
    <t>URGENT — Fix Credit Card NOW</t>
  </si>
  <si>
    <t xml:space="preserve">veera Licence 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</si>
  <si>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</si>
  <si>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</si>
  <si>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</si>
  <si>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</si>
  <si>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</si>
  <si>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</si>
  <si>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</si>
  <si>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</si>
  <si>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</si>
  <si>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</si>
  <si>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</si>
  <si>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</si>
  <si>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</si>
  <si>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2</t>
  </si>
  <si>
    <t>Stop taking any new loans</t>
  </si>
  <si>
    <t xml:space="preserve">Bank gold interest </t>
  </si>
  <si>
    <t>17-07-2026</t>
  </si>
  <si>
    <t>Your EMIs (₹1,15,135) already exceed your combined income (₹1,10,000). Even one new EMI will push you into serious default risk. No new microfinance, personal, or vehicle loan until at least 2027.</t>
  </si>
  <si>
    <t xml:space="preserve">அஞ்சு </t>
  </si>
  <si>
    <t>3</t>
  </si>
  <si>
    <t>19-07-2026</t>
  </si>
  <si>
    <t>Dress-Hari&amp;அப்பா(1590+2100)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</si>
  <si>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</si>
  <si>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</si>
  <si>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Mahesh </t>
  </si>
  <si>
    <t>Sivapriya Dress(2789+2300)</t>
  </si>
  <si>
    <t>4</t>
  </si>
  <si>
    <t>Oct 2026 — ESAF 2 closes (₹3,235 freed)</t>
  </si>
  <si>
    <t>20-07-2026</t>
  </si>
  <si>
    <t>Add this ₹3,235 to your Credit Card or SMFG extra payment. By Oct 2026 you'll have ₹5,885/month extra cash if you stay disciplined.</t>
  </si>
  <si>
    <t>Arivazhagi Loan</t>
  </si>
  <si>
    <t>5</t>
  </si>
  <si>
    <t xml:space="preserve">Petrol </t>
  </si>
  <si>
    <t>தட்டு for manja thanni</t>
  </si>
  <si>
    <t>Nov–Dec 2026 — TVS + DIO close (₹10,725 freed)</t>
  </si>
  <si>
    <t>Amma eye hospital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</si>
  <si>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</si>
  <si>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Snacks</t>
  </si>
  <si>
    <t>Auto+Poo+snacks(400+80+210)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</si>
  <si>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</si>
  <si>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</si>
  <si>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</si>
  <si>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22-07-2026</t>
  </si>
  <si>
    <t>நரேஷ்(50,000+10,000)</t>
  </si>
  <si>
    <t>7</t>
  </si>
  <si>
    <t>24-07-2026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</si>
  <si>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</si>
  <si>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</si>
  <si>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Thiliban</t>
  </si>
  <si>
    <t>25-07-2026</t>
  </si>
  <si>
    <t>Fruits+Auto(2600+400)</t>
  </si>
  <si>
    <t>8</t>
  </si>
  <si>
    <t>26-07-2026</t>
  </si>
  <si>
    <t>Jun 2027 — Car Purchase Window</t>
  </si>
  <si>
    <t>Manja thanni varisai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</si>
  <si>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</si>
  <si>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Jan 2027</t>
  </si>
  <si>
    <t>Gold stud</t>
  </si>
  <si>
    <t>9</t>
  </si>
  <si>
    <t>Van</t>
  </si>
  <si>
    <t>Old gold(2grams)</t>
  </si>
  <si>
    <t>Equitas Home Loan — prepay aggressively (ZERO penalty)</t>
  </si>
  <si>
    <t>27-07-2026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</si>
  <si>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</si>
  <si>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Aashirvad </t>
  </si>
  <si>
    <t>Auto</t>
  </si>
  <si>
    <t>28-07-2026</t>
  </si>
  <si>
    <t xml:space="preserve">Total amount </t>
  </si>
  <si>
    <t>10</t>
  </si>
  <si>
    <t>SMFG Loan — wait for 36 EMIs then foreclose</t>
  </si>
  <si>
    <t>Balance 4k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</si>
  <si>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</si>
  <si>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Amma Tablet 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</si>
  <si>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</si>
  <si>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</si>
  <si>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</si>
  <si>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</si>
  <si>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Loan name</t>
  </si>
  <si>
    <t>Name</t>
  </si>
  <si>
    <t>Emergency Fund — build ₹50,000 buffer</t>
  </si>
  <si>
    <t>Last 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</si>
  <si>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</si>
  <si>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Samasta</t>
  </si>
  <si>
    <t>3rd Thurs of every month</t>
  </si>
  <si>
    <t>Kalyani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</si>
  <si>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</si>
  <si>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</si>
  <si>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</si>
  <si>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</si>
  <si>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</si>
  <si>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</si>
  <si>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</si>
  <si>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Sangeetha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</si>
  <si>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</si>
  <si>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</si>
  <si>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Priya </t>
  </si>
  <si>
    <t>MILESTONE CALENDAR</t>
  </si>
  <si>
    <t>Thavamani</t>
  </si>
  <si>
    <t>Event</t>
  </si>
  <si>
    <t>Action / Impact</t>
  </si>
  <si>
    <t xml:space="preserve">2nd Wednesday </t>
  </si>
  <si>
    <t>Manimozhi</t>
  </si>
  <si>
    <t>Samasta 2 ends</t>
  </si>
  <si>
    <t>₹2,650/mo freed → redirect to Credit Card</t>
  </si>
  <si>
    <t>Sivapriya</t>
  </si>
  <si>
    <t>ESAF 2 ends</t>
  </si>
  <si>
    <t>₹3,235/mo freed → total ₹5,885 extra</t>
  </si>
  <si>
    <t>Pazhaniyammal</t>
  </si>
  <si>
    <t>14 due</t>
  </si>
  <si>
    <t>TVS + DIO end</t>
  </si>
  <si>
    <t>₹10,725/mo freed → total ₹16,610 extra</t>
  </si>
  <si>
    <t>Aasirvad</t>
  </si>
  <si>
    <t>ESAF 1 ends</t>
  </si>
  <si>
    <t>₹5,390/mo freed → total ₹22,000 extra</t>
  </si>
  <si>
    <t>SBI + Samasta 1 end</t>
  </si>
  <si>
    <t>ESAF 3 closes ✓</t>
  </si>
  <si>
    <t>₹15,000/mo freed → total ₹37,000 extra!</t>
  </si>
  <si>
    <t>Arivazhagi loan</t>
  </si>
  <si>
    <t xml:space="preserve">20th of every month </t>
  </si>
  <si>
    <t>Jun 2027</t>
  </si>
  <si>
    <t>c</t>
  </si>
  <si>
    <t>Car purchase window</t>
  </si>
  <si>
    <t>Debt &amp; EMI Tracker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</si>
  <si>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</si>
  <si>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</si>
  <si>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</si>
  <si>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</si>
  <si>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</si>
  <si>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</si>
  <si>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</si>
  <si>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</si>
  <si>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</si>
  <si>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Principal Amount</t>
  </si>
  <si>
    <t>Interest Rate (%)</t>
  </si>
  <si>
    <t>Total EMIs</t>
  </si>
  <si>
    <t>Jun 2029</t>
  </si>
  <si>
    <t>EMIs Paid</t>
  </si>
  <si>
    <t>Remaining EMIs</t>
  </si>
  <si>
    <t>Total Paid</t>
  </si>
  <si>
    <t>Remaining Balance</t>
  </si>
  <si>
    <t>Total Interest</t>
  </si>
  <si>
    <t>SMFG 0% foreclosure zone</t>
  </si>
  <si>
    <t>SMFG Personal Loan - Naresh</t>
  </si>
  <si>
    <t>Close SMFG loan with ZERO penalty!</t>
  </si>
  <si>
    <t>Equitas Home Loan ends</t>
  </si>
  <si>
    <t>Debt FREE! (or close earlier with prepayment)</t>
  </si>
  <si>
    <t>Samasta 1 closes ✓</t>
  </si>
  <si>
    <t>SBI Personal Loan - SivaPriya</t>
  </si>
  <si>
    <t>Apr 2027</t>
  </si>
  <si>
    <t>Equitas Home Loan - (APPA)Krishnamoorthy</t>
  </si>
  <si>
    <t>May 2027</t>
  </si>
  <si>
    <t>TVS Excel - (APPA)Krishnamoorthy</t>
  </si>
  <si>
    <t>DATE</t>
  </si>
  <si>
    <t>CREDIT Amount</t>
  </si>
  <si>
    <t xml:space="preserve">Expense </t>
  </si>
  <si>
    <t>Note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</si>
  <si>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</si>
  <si>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</si>
  <si>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</si>
  <si>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</si>
  <si>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</si>
  <si>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</si>
  <si>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</si>
  <si>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</si>
  <si>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Car purchase window opens!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</si>
  <si>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</si>
  <si>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</si>
  <si>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</si>
  <si>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</si>
  <si>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</si>
  <si>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</si>
  <si>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</si>
  <si>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</si>
  <si>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</si>
  <si>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TVS Excel closes ✓  |  DIO Loan closes ✓</t>
  </si>
  <si>
    <t>Credit card</t>
  </si>
  <si>
    <t>Net Balance</t>
  </si>
  <si>
    <t>Naresh Personal Loan</t>
  </si>
  <si>
    <t>4,47,707</t>
  </si>
  <si>
    <t>Aug 2027</t>
  </si>
  <si>
    <t>Home EB</t>
  </si>
  <si>
    <t>Muthu Interest</t>
  </si>
  <si>
    <t>Muthu interest</t>
  </si>
  <si>
    <t>Anjuchithi interest</t>
  </si>
  <si>
    <t>Equites Home loan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</si>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</sst>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yyyy-mm-dd"/>
    <numFmt numFmtId="166" formatCode="mmmm yyyy"/>
    <numFmt numFmtId="167" formatCode="&quot;₹&quot;#,##0;\(&quot;₹&quot;#,##0\);&quot;-&quot;"/>
    <numFmt numFmtId="168" formatCode="₹#,##0.00"/>
    <numFmt numFmtId="169" formatCode="d mmmm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sz val="14.0"/>
      <color theme="1"/>
      <name val="Montserrat"/>
    </font>
    <font>
      <sz val="10.0"/>
      <color rgb="FF1E1A12"/>
      <name val="Roboto"/>
    </font>
    <font>
      <b/>
      <sz val="13.0"/>
      <color rgb="FFFFFFFF"/>
      <name val="Arial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0" fillId="4" fontId="6" numFmtId="0" xfId="0" applyFill="1" applyFont="1"/>
    <xf borderId="4" fillId="0" fontId="5" numFmtId="164" xfId="0" applyAlignment="1" applyBorder="1" applyFont="1" applyNumberFormat="1">
      <alignment readingOrder="0"/>
    </xf>
    <xf borderId="0" fillId="0" fontId="7" numFmtId="0" xfId="0" applyAlignment="1" applyFont="1">
      <alignment vertical="center"/>
    </xf>
    <xf borderId="0" fillId="0" fontId="5" numFmtId="0" xfId="0" applyAlignment="1" applyFont="1">
      <alignment readingOrder="0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8" numFmtId="10" xfId="0" applyAlignment="1" applyFont="1" applyNumberFormat="1">
      <alignment readingOrder="0"/>
    </xf>
    <xf borderId="6" fillId="0" fontId="2" numFmtId="0" xfId="0" applyBorder="1" applyFont="1"/>
    <xf borderId="0" fillId="5" fontId="10" numFmtId="0" xfId="0" applyAlignment="1" applyFill="1" applyFont="1">
      <alignment horizontal="center" vertical="center"/>
    </xf>
    <xf borderId="0" fillId="0" fontId="8" numFmtId="164" xfId="0" applyAlignment="1" applyFont="1" applyNumberFormat="1">
      <alignment readingOrder="0"/>
    </xf>
    <xf borderId="0" fillId="0" fontId="5" numFmtId="164" xfId="0" applyFont="1" applyNumberFormat="1"/>
    <xf borderId="0" fillId="0" fontId="8" numFmtId="165" xfId="0" applyAlignment="1" applyFont="1" applyNumberFormat="1">
      <alignment readingOrder="0"/>
    </xf>
    <xf borderId="7" fillId="0" fontId="2" numFmtId="0" xfId="0" applyBorder="1" applyFont="1"/>
    <xf borderId="8" fillId="2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vertical="center"/>
    </xf>
    <xf borderId="0" fillId="0" fontId="5" numFmtId="166" xfId="0" applyAlignment="1" applyFont="1" applyNumberFormat="1">
      <alignment readingOrder="0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0" fontId="5" numFmtId="0" xfId="0" applyAlignment="1" applyFont="1">
      <alignment readingOrder="0"/>
    </xf>
    <xf borderId="8" fillId="7" fontId="13" numFmtId="167" xfId="0" applyAlignment="1" applyBorder="1" applyFont="1" applyNumberFormat="1">
      <alignment horizontal="right" readingOrder="0" vertical="center"/>
    </xf>
    <xf borderId="0" fillId="0" fontId="5" numFmtId="168" xfId="0" applyAlignment="1" applyFont="1" applyNumberFormat="1">
      <alignment readingOrder="0"/>
    </xf>
    <xf borderId="8" fillId="7" fontId="13" numFmtId="49" xfId="0" applyAlignment="1" applyBorder="1" applyFont="1" applyNumberFormat="1">
      <alignment horizontal="center" vertical="center"/>
    </xf>
    <xf borderId="0" fillId="0" fontId="5" numFmtId="169" xfId="0" applyAlignment="1" applyFont="1" applyNumberFormat="1">
      <alignment readingOrder="0"/>
    </xf>
    <xf borderId="8" fillId="7" fontId="13" numFmtId="3" xfId="0" applyAlignment="1" applyBorder="1" applyFont="1" applyNumberFormat="1">
      <alignment horizontal="center" vertical="center"/>
    </xf>
    <xf borderId="0" fillId="0" fontId="8" numFmtId="10" xfId="0" applyFont="1" applyNumberFormat="1"/>
    <xf borderId="8" fillId="7" fontId="13" numFmtId="167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8" numFmtId="0" xfId="0" applyFont="1"/>
    <xf borderId="8" fillId="7" fontId="13" numFmtId="49" xfId="0" applyAlignment="1" applyBorder="1" applyFont="1" applyNumberFormat="1">
      <alignment horizontal="left" vertical="center"/>
    </xf>
    <xf borderId="0" fillId="8" fontId="15" numFmtId="0" xfId="0" applyAlignment="1" applyFill="1" applyFont="1">
      <alignment vertical="bottom"/>
    </xf>
    <xf borderId="0" fillId="0" fontId="8" numFmtId="164" xfId="0" applyFont="1" applyNumberFormat="1"/>
    <xf borderId="0" fillId="0" fontId="8" numFmtId="165" xfId="0" applyFont="1" applyNumberFormat="1"/>
    <xf borderId="0" fillId="8" fontId="15" numFmtId="168" xfId="0" applyAlignment="1" applyFont="1" applyNumberFormat="1">
      <alignment horizontal="right" readingOrder="0" vertical="bottom"/>
    </xf>
    <xf borderId="8" fillId="9" fontId="12" numFmtId="49" xfId="0" applyAlignment="1" applyBorder="1" applyFill="1" applyFont="1" applyNumberFormat="1">
      <alignment horizontal="left" shrinkToFit="0" vertical="center" wrapText="1"/>
    </xf>
    <xf borderId="0" fillId="8" fontId="15" numFmtId="169" xfId="0" applyAlignment="1" applyFont="1" applyNumberFormat="1">
      <alignment horizontal="right" vertical="bottom"/>
    </xf>
    <xf borderId="0" fillId="0" fontId="16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bottom"/>
    </xf>
    <xf borderId="8" fillId="9" fontId="13" numFmtId="167" xfId="0" applyAlignment="1" applyBorder="1" applyFont="1" applyNumberFormat="1">
      <alignment horizontal="right" vertical="center"/>
    </xf>
    <xf borderId="8" fillId="9" fontId="13" numFmtId="49" xfId="0" applyAlignment="1" applyBorder="1" applyFont="1" applyNumberFormat="1">
      <alignment horizontal="center" vertical="center"/>
    </xf>
    <xf borderId="8" fillId="9" fontId="13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ont="1" applyNumberFormat="1">
      <alignment horizontal="left" vertical="center"/>
    </xf>
    <xf borderId="0" fillId="0" fontId="5" numFmtId="0" xfId="0" applyFont="1"/>
    <xf borderId="8" fillId="7" fontId="17" numFmtId="167" xfId="0" applyAlignment="1" applyBorder="1" applyFont="1" applyNumberFormat="1">
      <alignment horizontal="right" vertical="center"/>
    </xf>
    <xf borderId="8" fillId="10" fontId="12" numFmtId="49" xfId="0" applyAlignment="1" applyBorder="1" applyFill="1" applyFont="1" applyNumberFormat="1">
      <alignment shrinkToFit="0" vertical="center" wrapText="0"/>
    </xf>
    <xf borderId="8" fillId="11" fontId="12" numFmtId="170" xfId="0" applyAlignment="1" applyBorder="1" applyFill="1" applyFont="1" applyNumberFormat="1">
      <alignment readingOrder="0" shrinkToFit="0" vertical="center" wrapText="0"/>
    </xf>
    <xf borderId="8" fillId="12" fontId="12" numFmtId="49" xfId="0" applyAlignment="1" applyBorder="1" applyFill="1" applyFont="1" applyNumberFormat="1">
      <alignment horizontal="left" shrinkToFit="0" vertical="center" wrapText="1"/>
    </xf>
    <xf borderId="8" fillId="12" fontId="13" numFmtId="167" xfId="0" applyAlignment="1" applyBorder="1" applyFont="1" applyNumberFormat="1">
      <alignment horizontal="righ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center" vertical="center"/>
    </xf>
    <xf borderId="8" fillId="12" fontId="13" numFmtId="3" xfId="0" applyAlignment="1" applyBorder="1" applyFont="1" applyNumberFormat="1">
      <alignment horizontal="center" vertical="center"/>
    </xf>
    <xf borderId="8" fillId="12" fontId="13" numFmtId="49" xfId="0" applyAlignment="1" applyBorder="1" applyFont="1" applyNumberFormat="1">
      <alignment horizontal="left" vertical="center"/>
    </xf>
    <xf borderId="8" fillId="11" fontId="12" numFmtId="49" xfId="0" applyAlignment="1" applyBorder="1" applyFont="1" applyNumberFormat="1">
      <alignment horizontal="left" vertical="center"/>
    </xf>
    <xf borderId="8" fillId="11" fontId="13" numFmtId="167" xfId="0" applyAlignment="1" applyBorder="1" applyFont="1" applyNumberFormat="1">
      <alignment horizontal="right" vertical="center"/>
    </xf>
    <xf borderId="8" fillId="11" fontId="13" numFmtId="49" xfId="0" applyAlignment="1" applyBorder="1" applyFont="1" applyNumberFormat="1">
      <alignment horizontal="center" vertical="center"/>
    </xf>
    <xf borderId="8" fillId="11" fontId="13" numFmtId="3" xfId="0" applyAlignment="1" applyBorder="1" applyFont="1" applyNumberFormat="1">
      <alignment horizontal="center" vertical="center"/>
    </xf>
    <xf borderId="8" fillId="11" fontId="13" numFmtId="49" xfId="0" applyAlignment="1" applyBorder="1" applyFont="1" applyNumberFormat="1">
      <alignment horizontal="left" vertical="center"/>
    </xf>
    <xf borderId="8" fillId="7" fontId="18" numFmtId="170" xfId="0" applyAlignment="1" applyBorder="1" applyFont="1" applyNumberFormat="1">
      <alignment shrinkToFit="0" vertical="center" wrapText="0"/>
    </xf>
    <xf borderId="8" fillId="10" fontId="13" numFmtId="49" xfId="0" applyAlignment="1" applyBorder="1" applyFont="1" applyNumberFormat="1">
      <alignment shrinkToFit="0" vertical="center" wrapText="0"/>
    </xf>
    <xf borderId="8" fillId="11" fontId="13" numFmtId="167" xfId="0" applyAlignment="1" applyBorder="1" applyFont="1" applyNumberFormat="1">
      <alignment readingOrder="0" shrinkToFit="0" vertical="center" wrapText="0"/>
    </xf>
    <xf borderId="8" fillId="10" fontId="13" numFmtId="167" xfId="0" applyAlignment="1" applyBorder="1" applyFont="1" applyNumberFormat="1">
      <alignment shrinkToFit="0" vertical="center" wrapText="0"/>
    </xf>
    <xf borderId="8" fillId="10" fontId="13" numFmtId="167" xfId="0" applyAlignment="1" applyBorder="1" applyFont="1" applyNumberFormat="1">
      <alignment horizontal="center" shrinkToFit="0" vertical="center" wrapText="0"/>
    </xf>
    <xf borderId="8" fillId="10" fontId="13" numFmtId="167" xfId="0" applyAlignment="1" applyBorder="1" applyFont="1" applyNumberFormat="1">
      <alignment readingOrder="0" shrinkToFit="0" vertical="center" wrapText="0"/>
    </xf>
    <xf borderId="0" fillId="0" fontId="5" numFmtId="168" xfId="0" applyFont="1" applyNumberFormat="1"/>
    <xf borderId="8" fillId="11" fontId="12" numFmtId="49" xfId="0" applyAlignment="1" applyBorder="1" applyFont="1" applyNumberFormat="1">
      <alignment horizontal="left" readingOrder="0" vertical="center"/>
    </xf>
    <xf borderId="8" fillId="11" fontId="13" numFmtId="167" xfId="0" applyAlignment="1" applyBorder="1" applyFont="1" applyNumberFormat="1">
      <alignment horizontal="right" readingOrder="0" vertical="center"/>
    </xf>
    <xf borderId="8" fillId="11" fontId="13" numFmtId="49" xfId="0" applyAlignment="1" applyBorder="1" applyFont="1" applyNumberFormat="1">
      <alignment horizontal="left" readingOrder="0" vertical="center"/>
    </xf>
    <xf borderId="8" fillId="11" fontId="12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center" readingOrder="0" vertical="center"/>
    </xf>
    <xf borderId="8" fillId="11" fontId="13" numFmtId="3" xfId="0" applyAlignment="1" applyBorder="1" applyFont="1" applyNumberFormat="1">
      <alignment horizontal="center" readingOrder="0" vertical="center"/>
    </xf>
    <xf borderId="8" fillId="11" fontId="19" numFmtId="49" xfId="0" applyAlignment="1" applyBorder="1" applyFont="1" applyNumberFormat="1">
      <alignment shrinkToFit="0" vertical="center" wrapText="0"/>
    </xf>
    <xf borderId="8" fillId="2" fontId="20" numFmtId="0" xfId="0" applyAlignment="1" applyBorder="1" applyFont="1">
      <alignment horizontal="left" vertical="center"/>
    </xf>
    <xf borderId="8" fillId="11" fontId="13" numFmtId="167" xfId="0" applyAlignment="1" applyBorder="1" applyFont="1" applyNumberFormat="1">
      <alignment shrinkToFit="0" vertical="center" wrapText="0"/>
    </xf>
    <xf borderId="8" fillId="7" fontId="21" numFmtId="167" xfId="0" applyAlignment="1" applyBorder="1" applyFont="1" applyNumberFormat="1">
      <alignment horizontal="right" vertical="center"/>
    </xf>
    <xf borderId="8" fillId="11" fontId="13" numFmtId="167" xfId="0" applyAlignment="1" applyBorder="1" applyFont="1" applyNumberFormat="1">
      <alignment horizontal="center" shrinkToFit="0" vertical="center" wrapText="0"/>
    </xf>
    <xf borderId="8" fillId="2" fontId="13" numFmtId="0" xfId="0" applyAlignment="1" applyBorder="1" applyFont="1">
      <alignment horizontal="center" vertical="center"/>
    </xf>
    <xf borderId="8" fillId="13" fontId="19" numFmtId="167" xfId="0" applyAlignment="1" applyBorder="1" applyFill="1" applyFont="1" applyNumberFormat="1">
      <alignment horizontal="center" shrinkToFit="0" vertical="center" wrapText="0"/>
    </xf>
    <xf borderId="5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8" fillId="10" fontId="12" numFmtId="170" xfId="0" applyAlignment="1" applyBorder="1" applyFont="1" applyNumberFormat="1">
      <alignment readingOrder="0" shrinkToFit="0" vertical="center" wrapText="0"/>
    </xf>
    <xf borderId="5" fillId="12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8" fillId="14" fontId="22" numFmtId="167" xfId="0" applyAlignment="1" applyBorder="1" applyFill="1" applyFont="1" applyNumberFormat="1">
      <alignment horizontal="center"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67" xfId="0" applyAlignment="1" applyBorder="1" applyFont="1" applyNumberFormat="1">
      <alignment shrinkToFit="0" vertical="center" wrapText="0"/>
    </xf>
    <xf borderId="8" fillId="15" fontId="13" numFmtId="167" xfId="0" applyAlignment="1" applyBorder="1" applyFont="1" applyNumberFormat="1">
      <alignment horizontal="center" shrinkToFit="0" vertical="center" wrapText="0"/>
    </xf>
    <xf borderId="8" fillId="15" fontId="13" numFmtId="170" xfId="0" applyAlignment="1" applyBorder="1" applyFont="1" applyNumberFormat="1">
      <alignment shrinkToFit="0" vertical="center" wrapText="0"/>
    </xf>
    <xf borderId="8" fillId="15" fontId="19" numFmtId="170" xfId="0" applyAlignment="1" applyBorder="1" applyFont="1" applyNumberFormat="1">
      <alignment shrinkToFit="0" vertical="center" wrapText="0"/>
    </xf>
    <xf borderId="0" fillId="16" fontId="5" numFmtId="0" xfId="0" applyAlignment="1" applyFill="1" applyFont="1">
      <alignment horizontal="right" readingOrder="0"/>
    </xf>
    <xf borderId="5" fillId="2" fontId="1" numFmtId="0" xfId="0" applyAlignment="1" applyBorder="1" applyFont="1">
      <alignment horizontal="center" vertical="center"/>
    </xf>
    <xf borderId="8" fillId="10" fontId="13" numFmtId="170" xfId="0" applyAlignment="1" applyBorder="1" applyFont="1" applyNumberFormat="1">
      <alignment shrinkToFit="0" vertical="center" wrapText="0"/>
    </xf>
    <xf borderId="0" fillId="16" fontId="5" numFmtId="0" xfId="0" applyAlignment="1" applyFont="1">
      <alignment readingOrder="0"/>
    </xf>
    <xf borderId="0" fillId="0" fontId="23" numFmtId="0" xfId="0" applyAlignment="1" applyFont="1">
      <alignment vertical="bottom"/>
    </xf>
    <xf borderId="5" fillId="6" fontId="24" numFmtId="0" xfId="0" applyAlignment="1" applyBorder="1" applyFont="1">
      <alignment horizontal="center" vertical="center"/>
    </xf>
    <xf borderId="0" fillId="0" fontId="5" numFmtId="171" xfId="0" applyAlignment="1" applyFont="1" applyNumberFormat="1">
      <alignment horizontal="right" readingOrder="0"/>
    </xf>
    <xf borderId="0" fillId="0" fontId="23" numFmtId="172" xfId="0" applyAlignment="1" applyFont="1" applyNumberFormat="1">
      <alignment horizontal="right" vertical="bottom"/>
    </xf>
    <xf borderId="0" fillId="0" fontId="5" numFmtId="3" xfId="0" applyAlignment="1" applyFont="1" applyNumberFormat="1">
      <alignment readingOrder="0"/>
    </xf>
    <xf borderId="0" fillId="0" fontId="23" numFmtId="3" xfId="0" applyAlignment="1" applyFont="1" applyNumberFormat="1">
      <alignment horizontal="right" vertical="bottom"/>
    </xf>
    <xf borderId="8" fillId="7" fontId="25" numFmtId="0" xfId="0" applyAlignment="1" applyBorder="1" applyFont="1">
      <alignment horizontal="center" vertical="center"/>
    </xf>
    <xf borderId="0" fillId="0" fontId="5" numFmtId="171" xfId="0" applyAlignment="1" applyFont="1" applyNumberFormat="1">
      <alignment readingOrder="0"/>
    </xf>
    <xf borderId="8" fillId="10" fontId="19" numFmtId="170" xfId="0" applyAlignment="1" applyBorder="1" applyFont="1" applyNumberFormat="1">
      <alignment shrinkToFit="0" vertical="center" wrapText="0"/>
    </xf>
    <xf borderId="8" fillId="7" fontId="12" numFmtId="0" xfId="0" applyAlignment="1" applyBorder="1" applyFont="1">
      <alignment horizontal="left" vertical="center"/>
    </xf>
    <xf borderId="0" fillId="0" fontId="23" numFmtId="0" xfId="0" applyAlignment="1" applyFont="1">
      <alignment horizontal="right" vertical="bottom"/>
    </xf>
    <xf borderId="0" fillId="0" fontId="5" numFmtId="0" xfId="0" applyAlignment="1" applyFont="1">
      <alignment horizontal="right" readingOrder="0"/>
    </xf>
    <xf borderId="8" fillId="15" fontId="13" numFmtId="0" xfId="0" applyAlignment="1" applyBorder="1" applyFont="1">
      <alignment horizontal="left" shrinkToFit="0" vertical="center" wrapText="1"/>
    </xf>
    <xf borderId="8" fillId="17" fontId="25" numFmtId="0" xfId="0" applyAlignment="1" applyBorder="1" applyFill="1" applyFont="1">
      <alignment horizontal="center" vertical="center"/>
    </xf>
    <xf borderId="8" fillId="17" fontId="12" numFmtId="0" xfId="0" applyAlignment="1" applyBorder="1" applyFont="1">
      <alignment horizontal="left" vertical="center"/>
    </xf>
    <xf borderId="8" fillId="11" fontId="25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left" vertical="center"/>
    </xf>
    <xf borderId="8" fillId="9" fontId="25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0" fillId="0" fontId="5" numFmtId="0" xfId="0" applyAlignment="1" applyFont="1">
      <alignment horizontal="right"/>
    </xf>
    <xf borderId="8" fillId="12" fontId="25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left" vertical="center"/>
    </xf>
    <xf borderId="8" fillId="18" fontId="25" numFmtId="0" xfId="0" applyAlignment="1" applyBorder="1" applyFill="1" applyFont="1">
      <alignment horizontal="center" vertical="center"/>
    </xf>
    <xf borderId="8" fillId="18" fontId="12" numFmtId="0" xfId="0" applyAlignment="1" applyBorder="1" applyFont="1">
      <alignment horizontal="left" vertical="center"/>
    </xf>
    <xf borderId="0" fillId="0" fontId="23" numFmtId="173" xfId="0" applyAlignment="1" applyFont="1" applyNumberFormat="1">
      <alignment horizontal="right" vertical="bottom"/>
    </xf>
    <xf borderId="5" fillId="2" fontId="20" numFmtId="0" xfId="0" applyAlignment="1" applyBorder="1" applyFont="1">
      <alignment horizontal="center" vertical="center"/>
    </xf>
    <xf borderId="0" fillId="0" fontId="23" numFmtId="174" xfId="0" applyAlignment="1" applyFont="1" applyNumberFormat="1">
      <alignment horizontal="right" vertical="bottom"/>
    </xf>
    <xf borderId="8" fillId="6" fontId="11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shrinkToFit="0" vertical="center" wrapText="0"/>
    </xf>
    <xf borderId="8" fillId="17" fontId="12" numFmtId="0" xfId="0" applyAlignment="1" applyBorder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3" numFmtId="0" xfId="0" applyAlignment="1" applyFont="1">
      <alignment horizontal="right" readingOrder="0" vertical="bottom"/>
    </xf>
    <xf borderId="8" fillId="18" fontId="12" numFmtId="0" xfId="0" applyAlignment="1" applyBorder="1" applyFont="1">
      <alignment horizontal="center" vertical="center"/>
    </xf>
    <xf borderId="8" fillId="11" fontId="19" numFmtId="170" xfId="0" applyAlignment="1" applyBorder="1" applyFont="1" applyNumberFormat="1">
      <alignment shrinkToFit="0" vertical="center" wrapText="0"/>
    </xf>
    <xf borderId="8" fillId="18" fontId="13" numFmtId="0" xfId="0" applyAlignment="1" applyBorder="1" applyFont="1">
      <alignment horizontal="left" vertical="center"/>
    </xf>
    <xf borderId="8" fillId="9" fontId="12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3" fontId="19" numFmtId="167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8" fillId="12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8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8" fillId="14" fontId="22" numFmtId="167" xfId="0" applyAlignment="1" applyBorder="1" applyFont="1" applyNumberFormat="1">
      <alignment shrinkToFit="0" vertical="center" wrapText="0"/>
    </xf>
    <xf borderId="0" fillId="15" fontId="28" numFmtId="0" xfId="0" applyFont="1"/>
    <xf borderId="0" fillId="15" fontId="28" numFmtId="168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3" numFmtId="168" xfId="0" applyFont="1" applyNumberFormat="1"/>
    <xf borderId="0" fillId="20" fontId="23" numFmtId="10" xfId="0" applyFont="1" applyNumberFormat="1"/>
    <xf borderId="0" fillId="20" fontId="23" numFmtId="0" xfId="0" applyFont="1"/>
    <xf borderId="0" fillId="20" fontId="23" numFmtId="164" xfId="0" applyFont="1" applyNumberFormat="1"/>
    <xf borderId="0" fillId="15" fontId="23" numFmtId="10" xfId="0" applyFont="1" applyNumberFormat="1"/>
    <xf borderId="0" fillId="15" fontId="23" numFmtId="0" xfId="0" applyFont="1"/>
    <xf borderId="0" fillId="15" fontId="23" numFmtId="168" xfId="0" applyFont="1" applyNumberFormat="1"/>
    <xf borderId="0" fillId="15" fontId="23" numFmtId="164" xfId="0" applyFont="1" applyNumberFormat="1"/>
    <xf borderId="0" fillId="15" fontId="28" numFmtId="0" xfId="0" applyAlignment="1" applyFont="1">
      <alignment vertical="bottom"/>
    </xf>
    <xf borderId="0" fillId="15" fontId="28" numFmtId="168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3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8" fillId="9" fontId="19" numFmtId="170" xfId="0" applyAlignment="1" applyBorder="1" applyFont="1" applyNumberFormat="1">
      <alignment shrinkToFit="0" vertical="center" wrapText="0"/>
    </xf>
    <xf borderId="0" fillId="0" fontId="23" numFmtId="0" xfId="0" applyAlignment="1" applyFont="1">
      <alignment horizontal="center"/>
    </xf>
    <xf borderId="8" fillId="9" fontId="19" numFmtId="49" xfId="0" applyAlignment="1" applyBorder="1" applyFont="1" applyNumberFormat="1">
      <alignment shrinkToFit="0" vertical="center" wrapText="0"/>
    </xf>
    <xf borderId="8" fillId="9" fontId="13" numFmtId="167" xfId="0" applyAlignment="1" applyBorder="1" applyFont="1" applyNumberFormat="1">
      <alignment shrinkToFit="0" vertical="center" wrapText="0"/>
    </xf>
    <xf borderId="0" fillId="0" fontId="23" numFmtId="164" xfId="0" applyAlignment="1" applyFont="1" applyNumberFormat="1">
      <alignment vertical="bottom"/>
    </xf>
    <xf borderId="8" fillId="17" fontId="12" numFmtId="49" xfId="0" applyAlignment="1" applyBorder="1" applyFont="1" applyNumberFormat="1">
      <alignment shrinkToFit="0" vertical="center" wrapText="0"/>
    </xf>
    <xf borderId="8" fillId="17" fontId="12" numFmtId="170" xfId="0" applyAlignment="1" applyBorder="1" applyFont="1" applyNumberFormat="1">
      <alignment readingOrder="0" shrinkToFit="0" vertical="center" wrapText="0"/>
    </xf>
    <xf borderId="8" fillId="17" fontId="13" numFmtId="170" xfId="0" applyAlignment="1" applyBorder="1" applyFont="1" applyNumberFormat="1">
      <alignment shrinkToFit="0" vertical="center" wrapText="0"/>
    </xf>
    <xf borderId="8" fillId="17" fontId="19" numFmtId="170" xfId="0" applyAlignment="1" applyBorder="1" applyFont="1" applyNumberFormat="1">
      <alignment shrinkToFit="0" vertical="center" wrapText="0"/>
    </xf>
    <xf borderId="8" fillId="17" fontId="19" numFmtId="49" xfId="0" applyAlignment="1" applyBorder="1" applyFont="1" applyNumberFormat="1">
      <alignment shrinkToFit="0" vertical="center" wrapText="0"/>
    </xf>
    <xf borderId="8" fillId="17" fontId="13" numFmtId="167" xfId="0" applyAlignment="1" applyBorder="1" applyFont="1" applyNumberFormat="1">
      <alignment shrinkToFit="0" vertical="center" wrapText="0"/>
    </xf>
    <xf borderId="0" fillId="0" fontId="23" numFmtId="3" xfId="0" applyAlignment="1" applyFont="1" applyNumberFormat="1">
      <alignment vertical="bottom"/>
    </xf>
    <xf borderId="8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9" t="s">
        <v>10</v>
      </c>
      <c r="C4" s="11">
        <v>40000.0</v>
      </c>
    </row>
    <row r="5" ht="51.75" customHeight="1">
      <c r="B5" s="13" t="s">
        <v>14</v>
      </c>
      <c r="C5" s="20">
        <f t="array" ref="C5">SUM(INDIRECT("C3:C"&amp;ROW()-1))</f>
        <v>110000</v>
      </c>
    </row>
    <row r="6" ht="43.5" customHeight="1"/>
    <row r="7" ht="21.75" customHeight="1">
      <c r="B7" s="23" t="s">
        <v>23</v>
      </c>
      <c r="C7" s="23" t="s">
        <v>24</v>
      </c>
      <c r="D7" s="23" t="s">
        <v>19</v>
      </c>
      <c r="E7" s="23" t="s">
        <v>25</v>
      </c>
      <c r="F7" s="23" t="s">
        <v>26</v>
      </c>
      <c r="G7" s="23" t="s">
        <v>27</v>
      </c>
      <c r="H7" s="23" t="s">
        <v>21</v>
      </c>
    </row>
    <row r="8" ht="21.75" customHeight="1">
      <c r="B8" s="26" t="s">
        <v>28</v>
      </c>
      <c r="C8" s="28" t="s">
        <v>31</v>
      </c>
      <c r="D8" s="30" t="s">
        <v>32</v>
      </c>
      <c r="E8" s="30" t="s">
        <v>34</v>
      </c>
      <c r="F8" s="32">
        <v>59.0</v>
      </c>
      <c r="G8" s="34">
        <v>1563146.0</v>
      </c>
      <c r="H8" s="37" t="s">
        <v>36</v>
      </c>
    </row>
    <row r="9" ht="21.75" customHeight="1">
      <c r="B9" s="26" t="s">
        <v>41</v>
      </c>
      <c r="C9" s="34">
        <v>11839.0</v>
      </c>
      <c r="D9" s="30" t="s">
        <v>32</v>
      </c>
      <c r="E9" s="30" t="s">
        <v>42</v>
      </c>
      <c r="F9" s="32">
        <v>20.0</v>
      </c>
      <c r="G9" s="34">
        <v>236780.0</v>
      </c>
      <c r="H9" s="37" t="s">
        <v>43</v>
      </c>
    </row>
    <row r="10" ht="21.75" customHeight="1">
      <c r="B10" s="42" t="s">
        <v>44</v>
      </c>
      <c r="C10" s="46">
        <v>15250.0</v>
      </c>
      <c r="D10" s="47" t="s">
        <v>54</v>
      </c>
      <c r="E10" s="47" t="s">
        <v>58</v>
      </c>
      <c r="F10" s="48">
        <v>55.0</v>
      </c>
      <c r="G10" s="46">
        <v>838750.0</v>
      </c>
      <c r="H10" s="50" t="s">
        <v>65</v>
      </c>
    </row>
    <row r="11" ht="21.75" customHeight="1">
      <c r="B11" s="26" t="s">
        <v>49</v>
      </c>
      <c r="C11" s="52">
        <v>18972.0</v>
      </c>
      <c r="D11" s="30" t="s">
        <v>49</v>
      </c>
      <c r="E11" s="30" t="s">
        <v>73</v>
      </c>
      <c r="F11" s="32">
        <v>5.0</v>
      </c>
      <c r="G11" s="34">
        <v>94860.0</v>
      </c>
      <c r="H11" s="37" t="s">
        <v>75</v>
      </c>
    </row>
    <row r="12" ht="21.75" customHeight="1">
      <c r="B12" s="55" t="s">
        <v>50</v>
      </c>
      <c r="C12" s="56">
        <v>5087.0</v>
      </c>
      <c r="D12" s="58" t="s">
        <v>82</v>
      </c>
      <c r="E12" s="58" t="s">
        <v>85</v>
      </c>
      <c r="F12" s="59">
        <v>14.0</v>
      </c>
      <c r="G12" s="56">
        <v>71218.0</v>
      </c>
      <c r="H12" s="60" t="s">
        <v>87</v>
      </c>
    </row>
    <row r="13" ht="21.75" customHeight="1">
      <c r="B13" s="55" t="s">
        <v>51</v>
      </c>
      <c r="C13" s="56">
        <v>5638.0</v>
      </c>
      <c r="D13" s="58" t="s">
        <v>82</v>
      </c>
      <c r="E13" s="58" t="s">
        <v>85</v>
      </c>
      <c r="F13" s="59">
        <v>14.0</v>
      </c>
      <c r="G13" s="56">
        <v>78932.0</v>
      </c>
      <c r="H13" s="60" t="s">
        <v>87</v>
      </c>
    </row>
    <row r="14" ht="21.75" customHeight="1">
      <c r="B14" s="61" t="s">
        <v>52</v>
      </c>
      <c r="C14" s="62">
        <v>3150.0</v>
      </c>
      <c r="D14" s="63" t="s">
        <v>96</v>
      </c>
      <c r="E14" s="63" t="s">
        <v>99</v>
      </c>
      <c r="F14" s="64">
        <v>10.0</v>
      </c>
      <c r="G14" s="62">
        <v>31500.0</v>
      </c>
      <c r="H14" s="65" t="s">
        <v>102</v>
      </c>
    </row>
    <row r="15" ht="21.75" customHeight="1">
      <c r="B15" s="61" t="s">
        <v>53</v>
      </c>
      <c r="C15" s="62">
        <v>2650.0</v>
      </c>
      <c r="D15" s="63" t="s">
        <v>96</v>
      </c>
      <c r="E15" s="63" t="s">
        <v>107</v>
      </c>
      <c r="F15" s="64">
        <v>2.0</v>
      </c>
      <c r="G15" s="62">
        <v>5300.0</v>
      </c>
      <c r="H15" s="65" t="s">
        <v>109</v>
      </c>
    </row>
    <row r="16" ht="21.75" customHeight="1">
      <c r="B16" s="61" t="s">
        <v>55</v>
      </c>
      <c r="C16" s="62">
        <v>2600.0</v>
      </c>
      <c r="D16" s="63" t="s">
        <v>96</v>
      </c>
      <c r="E16" s="63" t="s">
        <v>111</v>
      </c>
      <c r="F16" s="64">
        <v>22.0</v>
      </c>
      <c r="G16" s="62">
        <v>57200.0</v>
      </c>
      <c r="H16" s="65" t="s">
        <v>102</v>
      </c>
    </row>
    <row r="17" ht="21.75" customHeight="1">
      <c r="B17" s="61" t="s">
        <v>57</v>
      </c>
      <c r="C17" s="62">
        <v>2680.0</v>
      </c>
      <c r="D17" s="63" t="s">
        <v>96</v>
      </c>
      <c r="E17" s="63" t="s">
        <v>114</v>
      </c>
      <c r="F17" s="64">
        <v>23.0</v>
      </c>
      <c r="G17" s="62">
        <v>61640.0</v>
      </c>
      <c r="H17" s="65" t="s">
        <v>102</v>
      </c>
    </row>
    <row r="18" ht="21.75" customHeight="1">
      <c r="B18" s="61" t="s">
        <v>59</v>
      </c>
      <c r="C18" s="62">
        <v>5390.0</v>
      </c>
      <c r="D18" s="63" t="s">
        <v>96</v>
      </c>
      <c r="E18" s="63" t="s">
        <v>42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60</v>
      </c>
      <c r="C19" s="62">
        <v>3235.0</v>
      </c>
      <c r="D19" s="63" t="s">
        <v>96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62</v>
      </c>
      <c r="C20" s="62">
        <v>1230.0</v>
      </c>
      <c r="D20" s="63" t="s">
        <v>96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3" t="s">
        <v>64</v>
      </c>
      <c r="C21" s="74">
        <v>2970.0</v>
      </c>
      <c r="D21" s="63" t="s">
        <v>96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96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67</v>
      </c>
      <c r="C23" s="62">
        <v>5000.0</v>
      </c>
      <c r="D23" s="63" t="s">
        <v>96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1" t="s">
        <v>129</v>
      </c>
      <c r="C25" s="83">
        <f>SUM(C8:C24)</f>
        <v>90401</v>
      </c>
      <c r="D25" s="85"/>
      <c r="E25" s="85"/>
      <c r="F25" s="85"/>
      <c r="G25" s="85"/>
      <c r="H25" s="85"/>
    </row>
    <row r="26" ht="19.5" customHeight="1">
      <c r="B26" s="81" t="s">
        <v>130</v>
      </c>
      <c r="C26" s="83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24" t="s">
        <v>131</v>
      </c>
      <c r="C28" s="17"/>
      <c r="D28" s="17"/>
      <c r="E28" s="17"/>
      <c r="F28" s="17"/>
      <c r="G28" s="17"/>
      <c r="H28" s="22"/>
    </row>
    <row r="29" ht="15.75" customHeight="1">
      <c r="B29" s="87" t="s">
        <v>132</v>
      </c>
      <c r="C29" s="17"/>
      <c r="D29" s="17"/>
      <c r="E29" s="17"/>
      <c r="F29" s="17"/>
      <c r="G29" s="17"/>
      <c r="H29" s="88"/>
    </row>
    <row r="30" ht="15.75" customHeight="1">
      <c r="B30" s="87" t="s">
        <v>133</v>
      </c>
      <c r="C30" s="17"/>
      <c r="D30" s="17"/>
      <c r="E30" s="17"/>
      <c r="F30" s="17"/>
      <c r="G30" s="17"/>
      <c r="H30" s="88"/>
    </row>
    <row r="31" ht="15.75" customHeight="1">
      <c r="B31" s="89" t="s">
        <v>135</v>
      </c>
      <c r="C31" s="17"/>
      <c r="D31" s="17"/>
      <c r="E31" s="17"/>
      <c r="F31" s="17"/>
      <c r="G31" s="17"/>
      <c r="H31" s="88"/>
    </row>
    <row r="32" ht="15.75" customHeight="1">
      <c r="B32" s="91" t="s">
        <v>136</v>
      </c>
      <c r="C32" s="17"/>
      <c r="D32" s="17"/>
      <c r="E32" s="17"/>
      <c r="F32" s="17"/>
      <c r="G32" s="17"/>
      <c r="H32" s="88"/>
    </row>
    <row r="33" ht="15.75" customHeight="1">
      <c r="B33" s="92" t="s">
        <v>137</v>
      </c>
      <c r="C33" s="17"/>
      <c r="D33" s="17"/>
      <c r="E33" s="17"/>
      <c r="F33" s="17"/>
      <c r="G33" s="17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15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2"/>
    </row>
    <row r="2" ht="15.75" customHeight="1">
      <c r="B2" s="24" t="s">
        <v>22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2"/>
    </row>
    <row r="3" ht="7.5" customHeight="1"/>
    <row r="4" ht="36.0" customHeight="1">
      <c r="B4" s="35" t="s">
        <v>16</v>
      </c>
      <c r="C4" s="35" t="s">
        <v>39</v>
      </c>
      <c r="D4" s="35" t="s">
        <v>45</v>
      </c>
      <c r="E4" s="35" t="s">
        <v>46</v>
      </c>
      <c r="F4" s="35" t="s">
        <v>47</v>
      </c>
      <c r="G4" s="35" t="s">
        <v>48</v>
      </c>
      <c r="H4" s="44" t="s">
        <v>28</v>
      </c>
      <c r="I4" s="44" t="s">
        <v>41</v>
      </c>
      <c r="J4" s="44" t="s">
        <v>44</v>
      </c>
      <c r="K4" s="44" t="s">
        <v>49</v>
      </c>
      <c r="L4" s="44" t="s">
        <v>50</v>
      </c>
      <c r="M4" s="44" t="s">
        <v>51</v>
      </c>
      <c r="N4" s="44" t="s">
        <v>52</v>
      </c>
      <c r="O4" s="44" t="s">
        <v>53</v>
      </c>
      <c r="P4" s="44" t="s">
        <v>55</v>
      </c>
      <c r="Q4" s="44" t="s">
        <v>57</v>
      </c>
      <c r="R4" s="44" t="s">
        <v>59</v>
      </c>
      <c r="S4" s="44" t="s">
        <v>60</v>
      </c>
      <c r="T4" s="44" t="s">
        <v>62</v>
      </c>
      <c r="U4" s="49" t="s">
        <v>64</v>
      </c>
      <c r="V4" s="49" t="s">
        <v>66</v>
      </c>
      <c r="W4" s="44" t="s">
        <v>67</v>
      </c>
      <c r="X4" s="44" t="s">
        <v>68</v>
      </c>
    </row>
    <row r="5" ht="22.5" customHeight="1">
      <c r="B5" s="53" t="s">
        <v>69</v>
      </c>
      <c r="C5" s="54">
        <f>Loans!$C$5</f>
        <v>110000</v>
      </c>
      <c r="D5" s="57">
        <f t="shared" ref="D5:D59" si="1">SUM(H5:X5)</f>
        <v>93336</v>
      </c>
      <c r="E5" s="57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1">
        <v>4500.0</v>
      </c>
      <c r="M5" s="71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1">
        <v>0.0</v>
      </c>
    </row>
    <row r="6" ht="22.5" customHeight="1">
      <c r="B6" s="76" t="s">
        <v>107</v>
      </c>
      <c r="C6" s="54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0" t="s">
        <v>128</v>
      </c>
      <c r="H6" s="82">
        <v>26494.0</v>
      </c>
      <c r="I6" s="82">
        <v>11839.0</v>
      </c>
      <c r="J6" s="82">
        <v>15250.0</v>
      </c>
      <c r="K6" s="84">
        <v>18972.0</v>
      </c>
      <c r="L6" s="71">
        <v>4500.0</v>
      </c>
      <c r="M6" s="71">
        <v>5000.0</v>
      </c>
      <c r="N6" s="82">
        <v>3150.0</v>
      </c>
      <c r="O6" s="86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68">
        <v>1740.0</v>
      </c>
    </row>
    <row r="7" ht="22.5" customHeight="1">
      <c r="B7" s="53" t="s">
        <v>134</v>
      </c>
      <c r="C7" s="90">
        <f>Loans!$C$5</f>
        <v>110000</v>
      </c>
      <c r="D7" s="57">
        <f t="shared" si="1"/>
        <v>118920</v>
      </c>
      <c r="E7" s="57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1">
        <v>4500.0</v>
      </c>
      <c r="M7" s="71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1">
        <v>4500.0</v>
      </c>
      <c r="M8" s="7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6" t="s">
        <v>73</v>
      </c>
      <c r="C9" s="54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0" t="s">
        <v>139</v>
      </c>
      <c r="H9" s="82">
        <v>26494.0</v>
      </c>
      <c r="I9" s="82">
        <v>11839.0</v>
      </c>
      <c r="J9" s="82">
        <v>15250.0</v>
      </c>
      <c r="K9" s="86">
        <v>18972.0</v>
      </c>
      <c r="L9" s="71">
        <v>4500.0</v>
      </c>
      <c r="M9" s="71">
        <v>5000.0</v>
      </c>
      <c r="N9" s="82">
        <v>3150.0</v>
      </c>
      <c r="O9" s="93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68">
        <v>1740.0</v>
      </c>
    </row>
    <row r="10" ht="22.5" customHeight="1">
      <c r="B10" s="94" t="s">
        <v>140</v>
      </c>
      <c r="C10" s="95">
        <f>Loans!$C$5</f>
        <v>110000</v>
      </c>
      <c r="D10" s="100">
        <f t="shared" si="1"/>
        <v>99948</v>
      </c>
      <c r="E10" s="100">
        <f>IF(B10="","",SUMIFS('June 2026 Expenses'!C:C, 'June 2026 Expenses'!A:A, "&gt;="&amp;DATEVALUE(B10), 'June 2026 Expenses'!A:A, "&lt;="&amp;EOMONTH(DATEVALUE(B10), 0)))</f>
        <v>0</v>
      </c>
      <c r="F10" s="10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1">
        <v>4500.0</v>
      </c>
      <c r="M10" s="7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53" t="s">
        <v>141</v>
      </c>
      <c r="C11" s="90">
        <f>Loans!$C$5</f>
        <v>110000</v>
      </c>
      <c r="D11" s="104">
        <f t="shared" si="1"/>
        <v>99948</v>
      </c>
      <c r="E11" s="104">
        <f>IF(B11="","",SUMIFS('June 2026 Expenses'!C:C, 'June 2026 Expenses'!A:A, "&gt;="&amp;DATEVALUE(B11), 'June 2026 Expenses'!A:A, "&lt;="&amp;EOMONTH(DATEVALUE(B11), 0)))</f>
        <v>0</v>
      </c>
      <c r="F11" s="114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1">
        <v>4500.0</v>
      </c>
      <c r="M11" s="71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213</v>
      </c>
      <c r="C12" s="95">
        <f>Loans!$C$5</f>
        <v>110000</v>
      </c>
      <c r="D12" s="100">
        <f t="shared" si="1"/>
        <v>98208</v>
      </c>
      <c r="E12" s="100">
        <f>IF(B12="","",SUMIFS('June 2026 Expenses'!C:C, 'June 2026 Expenses'!A:A, "&gt;="&amp;DATEVALUE(B12), 'June 2026 Expenses'!A:A, "&lt;="&amp;EOMONTH(DATEVALUE(B12), 0)))</f>
        <v>0</v>
      </c>
      <c r="F12" s="10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1">
        <v>4500.0</v>
      </c>
      <c r="M12" s="7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4">
        <f>Loans!$C$5</f>
        <v>110000</v>
      </c>
      <c r="D13" s="137">
        <f t="shared" si="1"/>
        <v>98208</v>
      </c>
      <c r="E13" s="137">
        <f>IF(B13="","",SUMIFS('June 2026 Expenses'!C:C, 'June 2026 Expenses'!A:A, "&gt;="&amp;DATEVALUE(B13), 'June 2026 Expenses'!A:A, "&lt;="&amp;EOMONTH(DATEVALUE(B13), 0)))</f>
        <v>0</v>
      </c>
      <c r="F13" s="142">
        <f t="shared" si="2"/>
        <v>11792</v>
      </c>
      <c r="G13" s="80" t="s">
        <v>272</v>
      </c>
      <c r="H13" s="82">
        <v>26494.0</v>
      </c>
      <c r="I13" s="82">
        <v>11839.0</v>
      </c>
      <c r="J13" s="82">
        <v>15250.0</v>
      </c>
      <c r="K13" s="93"/>
      <c r="L13" s="71">
        <v>4500.0</v>
      </c>
      <c r="M13" s="71">
        <v>5000.0</v>
      </c>
      <c r="N13" s="82">
        <v>3150.0</v>
      </c>
      <c r="O13" s="93"/>
      <c r="P13" s="82">
        <v>2600.0</v>
      </c>
      <c r="Q13" s="82">
        <v>2680.0</v>
      </c>
      <c r="R13" s="82">
        <v>5390.0</v>
      </c>
      <c r="S13" s="82">
        <v>3235.0</v>
      </c>
      <c r="T13" s="147">
        <v>1230.0</v>
      </c>
      <c r="U13" s="82">
        <v>5920.0</v>
      </c>
      <c r="V13" s="82">
        <v>5920.0</v>
      </c>
      <c r="W13" s="82">
        <v>5000.0</v>
      </c>
      <c r="X13" s="98"/>
    </row>
    <row r="14" ht="22.5" customHeight="1">
      <c r="B14" s="76" t="s">
        <v>99</v>
      </c>
      <c r="C14" s="54">
        <f>Loans!$C$5</f>
        <v>110000</v>
      </c>
      <c r="D14" s="137">
        <f t="shared" si="1"/>
        <v>96978</v>
      </c>
      <c r="E14" s="137">
        <f>IF(B14="","",SUMIFS('June 2026 Expenses'!C:C, 'June 2026 Expenses'!A:A, "&gt;="&amp;DATEVALUE(B14), 'June 2026 Expenses'!A:A, "&lt;="&amp;EOMONTH(DATEVALUE(B14), 0)))</f>
        <v>0</v>
      </c>
      <c r="F14" s="142">
        <f t="shared" si="2"/>
        <v>13022</v>
      </c>
      <c r="G14" s="80" t="s">
        <v>303</v>
      </c>
      <c r="H14" s="82">
        <v>26494.0</v>
      </c>
      <c r="I14" s="82">
        <v>11839.0</v>
      </c>
      <c r="J14" s="82">
        <v>15250.0</v>
      </c>
      <c r="K14" s="93"/>
      <c r="L14" s="71">
        <v>4500.0</v>
      </c>
      <c r="M14" s="71">
        <v>5000.0</v>
      </c>
      <c r="N14" s="147">
        <v>3150.0</v>
      </c>
      <c r="O14" s="93"/>
      <c r="P14" s="82">
        <v>2600.0</v>
      </c>
      <c r="Q14" s="82">
        <v>2680.0</v>
      </c>
      <c r="R14" s="82">
        <v>5390.0</v>
      </c>
      <c r="S14" s="82">
        <v>3235.0</v>
      </c>
      <c r="T14" s="156"/>
      <c r="U14" s="82">
        <v>5920.0</v>
      </c>
      <c r="V14" s="82">
        <v>5920.0</v>
      </c>
      <c r="W14" s="82">
        <v>5000.0</v>
      </c>
      <c r="X14" s="98"/>
    </row>
    <row r="15" ht="22.5" customHeight="1">
      <c r="B15" s="53" t="s">
        <v>305</v>
      </c>
      <c r="C15" s="90">
        <f>Loans!$C$5</f>
        <v>110000</v>
      </c>
      <c r="D15" s="104">
        <f t="shared" si="1"/>
        <v>93828</v>
      </c>
      <c r="E15" s="104">
        <f>IF(B15="","",SUMIFS('June 2026 Expenses'!C:C, 'June 2026 Expenses'!A:A, "&gt;="&amp;DATEVALUE(B15), 'June 2026 Expenses'!A:A, "&lt;="&amp;EOMONTH(DATEVALUE(B15), 0)))</f>
        <v>0</v>
      </c>
      <c r="F15" s="114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1">
        <v>4500.0</v>
      </c>
      <c r="M15" s="71">
        <v>5000.0</v>
      </c>
      <c r="N15" s="15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56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307</v>
      </c>
      <c r="C16" s="95">
        <f>Loans!$C$5</f>
        <v>110000</v>
      </c>
      <c r="D16" s="100">
        <f t="shared" si="1"/>
        <v>93828</v>
      </c>
      <c r="E16" s="100">
        <f>IF(B16="","",SUMIFS('June 2026 Expenses'!C:C, 'June 2026 Expenses'!A:A, "&gt;="&amp;DATEVALUE(B16), 'June 2026 Expenses'!A:A, "&lt;="&amp;EOMONTH(DATEVALUE(B16), 0)))</f>
        <v>0</v>
      </c>
      <c r="F16" s="10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1">
        <v>4500.0</v>
      </c>
      <c r="M16" s="71">
        <v>5000.0</v>
      </c>
      <c r="N16" s="15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5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5" t="s">
        <v>276</v>
      </c>
      <c r="C17" s="176">
        <f>Loans!$C$5</f>
        <v>110000</v>
      </c>
      <c r="D17" s="177">
        <f t="shared" si="1"/>
        <v>93828</v>
      </c>
      <c r="E17" s="177">
        <f>IF(B17="","",SUMIFS('June 2026 Expenses'!C:C, 'June 2026 Expenses'!A:A, "&gt;="&amp;DATEVALUE(B17), 'June 2026 Expenses'!A:A, "&lt;="&amp;EOMONTH(DATEVALUE(B17), 0)))</f>
        <v>0</v>
      </c>
      <c r="F17" s="180">
        <f t="shared" si="2"/>
        <v>16172</v>
      </c>
      <c r="G17" s="182" t="s">
        <v>321</v>
      </c>
      <c r="H17" s="183">
        <v>26494.0</v>
      </c>
      <c r="I17" s="183">
        <v>11839.0</v>
      </c>
      <c r="J17" s="183">
        <v>15250.0</v>
      </c>
      <c r="K17" s="93"/>
      <c r="L17" s="71">
        <v>4500.0</v>
      </c>
      <c r="M17" s="71">
        <v>5000.0</v>
      </c>
      <c r="N17" s="156"/>
      <c r="O17" s="93"/>
      <c r="P17" s="183">
        <v>2600.0</v>
      </c>
      <c r="Q17" s="183">
        <v>2680.0</v>
      </c>
      <c r="R17" s="183">
        <v>5390.0</v>
      </c>
      <c r="S17" s="183">
        <v>3235.0</v>
      </c>
      <c r="T17" s="156"/>
      <c r="U17" s="183">
        <v>5920.0</v>
      </c>
      <c r="V17" s="183">
        <v>5920.0</v>
      </c>
      <c r="W17" s="183">
        <v>5000.0</v>
      </c>
      <c r="X17" s="98"/>
    </row>
    <row r="18" ht="22.5" customHeight="1">
      <c r="B18" s="185" t="s">
        <v>85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331</v>
      </c>
      <c r="H18" s="190">
        <v>26494.0</v>
      </c>
      <c r="I18" s="190">
        <v>11839.0</v>
      </c>
      <c r="J18" s="190">
        <v>15250.0</v>
      </c>
      <c r="K18" s="93"/>
      <c r="L18" s="71">
        <v>4500.0</v>
      </c>
      <c r="M18" s="71">
        <v>5000.0</v>
      </c>
      <c r="N18" s="156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56"/>
      <c r="U18" s="190">
        <v>5920.0</v>
      </c>
      <c r="V18" s="190">
        <v>5920.0</v>
      </c>
      <c r="W18" s="190">
        <v>5000.0</v>
      </c>
      <c r="X18" s="98"/>
    </row>
    <row r="19" ht="22.5" customHeight="1">
      <c r="B19" s="53" t="s">
        <v>336</v>
      </c>
      <c r="C19" s="90">
        <f>Loans!$C$5</f>
        <v>110000</v>
      </c>
      <c r="D19" s="104">
        <f t="shared" si="1"/>
        <v>84328</v>
      </c>
      <c r="E19" s="104">
        <f>IF(B19="","",SUMIFS('June 2026 Expenses'!C:C, 'June 2026 Expenses'!A:A, "&gt;="&amp;DATEVALUE(B19), 'June 2026 Expenses'!A:A, "&lt;="&amp;EOMONTH(DATEVALUE(B19), 0)))</f>
        <v>0</v>
      </c>
      <c r="F19" s="114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56"/>
      <c r="M19" s="156"/>
      <c r="N19" s="15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56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342</v>
      </c>
      <c r="C20" s="95">
        <f>Loans!$C$5</f>
        <v>110000</v>
      </c>
      <c r="D20" s="100">
        <f t="shared" si="1"/>
        <v>84328</v>
      </c>
      <c r="E20" s="100">
        <f>IF(B20="","",SUMIFS('June 2026 Expenses'!C:C, 'June 2026 Expenses'!A:A, "&gt;="&amp;DATEVALUE(B20), 'June 2026 Expenses'!A:A, "&lt;="&amp;EOMONTH(DATEVALUE(B20), 0)))</f>
        <v>0</v>
      </c>
      <c r="F20" s="10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56"/>
      <c r="M20" s="156"/>
      <c r="N20" s="15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5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4">
        <f>Loans!$C$5</f>
        <v>110000</v>
      </c>
      <c r="D21" s="137">
        <f t="shared" si="1"/>
        <v>84328</v>
      </c>
      <c r="E21" s="137">
        <f>IF(B21="","",SUMIFS('June 2026 Expenses'!C:C, 'June 2026 Expenses'!A:A, "&gt;="&amp;DATEVALUE(B21), 'June 2026 Expenses'!A:A, "&lt;="&amp;EOMONTH(DATEVALUE(B21), 0)))</f>
        <v>0</v>
      </c>
      <c r="F21" s="142">
        <f t="shared" si="2"/>
        <v>25672</v>
      </c>
      <c r="G21" s="80" t="s">
        <v>343</v>
      </c>
      <c r="H21" s="82">
        <v>26494.0</v>
      </c>
      <c r="I21" s="82">
        <v>11839.0</v>
      </c>
      <c r="J21" s="82">
        <v>15250.0</v>
      </c>
      <c r="K21" s="93"/>
      <c r="L21" s="156"/>
      <c r="M21" s="156"/>
      <c r="N21" s="156"/>
      <c r="O21" s="93"/>
      <c r="P21" s="82">
        <v>2600.0</v>
      </c>
      <c r="Q21" s="82">
        <v>2680.0</v>
      </c>
      <c r="R21" s="82">
        <v>5390.0</v>
      </c>
      <c r="S21" s="147">
        <v>3235.0</v>
      </c>
      <c r="T21" s="156"/>
      <c r="U21" s="82">
        <v>5920.0</v>
      </c>
      <c r="V21" s="82">
        <v>5920.0</v>
      </c>
      <c r="W21" s="82">
        <v>5000.0</v>
      </c>
      <c r="X21" s="98"/>
    </row>
    <row r="22" ht="15.75" customHeight="1">
      <c r="B22" s="94" t="s">
        <v>344</v>
      </c>
      <c r="C22" s="95">
        <f>Loans!$C$5</f>
        <v>110000</v>
      </c>
      <c r="D22" s="100">
        <f t="shared" si="1"/>
        <v>81093</v>
      </c>
      <c r="E22" s="100">
        <f>IF(B22="","",SUMIFS('June 2026 Expenses'!C:C, 'June 2026 Expenses'!A:A, "&gt;="&amp;DATEVALUE(B22), 'June 2026 Expenses'!A:A, "&lt;="&amp;EOMONTH(DATEVALUE(B22), 0)))</f>
        <v>0</v>
      </c>
      <c r="F22" s="10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56"/>
      <c r="M22" s="156"/>
      <c r="N22" s="156"/>
      <c r="O22" s="93"/>
      <c r="P22" s="98">
        <v>2600.0</v>
      </c>
      <c r="Q22" s="98">
        <v>2680.0</v>
      </c>
      <c r="R22" s="98">
        <v>5390.0</v>
      </c>
      <c r="S22" s="156"/>
      <c r="T22" s="15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3" t="s">
        <v>345</v>
      </c>
      <c r="C23" s="90">
        <f>Loans!$C$5</f>
        <v>110000</v>
      </c>
      <c r="D23" s="104">
        <f t="shared" si="1"/>
        <v>81093</v>
      </c>
      <c r="E23" s="104">
        <f>IF(B23="","",SUMIFS('June 2026 Expenses'!C:C, 'June 2026 Expenses'!A:A, "&gt;="&amp;DATEVALUE(B23), 'June 2026 Expenses'!A:A, "&lt;="&amp;EOMONTH(DATEVALUE(B23), 0)))</f>
        <v>0</v>
      </c>
      <c r="F23" s="114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56"/>
      <c r="M23" s="156"/>
      <c r="N23" s="156"/>
      <c r="O23" s="93"/>
      <c r="P23" s="69">
        <v>2600.0</v>
      </c>
      <c r="Q23" s="69">
        <v>2680.0</v>
      </c>
      <c r="R23" s="69">
        <v>5390.0</v>
      </c>
      <c r="S23" s="156"/>
      <c r="T23" s="156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85" t="s">
        <v>42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346</v>
      </c>
      <c r="H24" s="190">
        <v>26494.0</v>
      </c>
      <c r="I24" s="147">
        <v>11839.0</v>
      </c>
      <c r="J24" s="190">
        <v>15250.0</v>
      </c>
      <c r="K24" s="93"/>
      <c r="L24" s="156"/>
      <c r="M24" s="156"/>
      <c r="N24" s="156"/>
      <c r="O24" s="93"/>
      <c r="P24" s="190">
        <v>2600.0</v>
      </c>
      <c r="Q24" s="190">
        <v>2680.0</v>
      </c>
      <c r="R24" s="147">
        <v>5390.0</v>
      </c>
      <c r="S24" s="156"/>
      <c r="T24" s="156"/>
      <c r="U24" s="190">
        <v>5920.0</v>
      </c>
      <c r="V24" s="190">
        <v>5920.0</v>
      </c>
      <c r="W24" s="190">
        <v>5000.0</v>
      </c>
      <c r="X24" s="98"/>
    </row>
    <row r="25" ht="15.75" customHeight="1">
      <c r="B25" s="53" t="s">
        <v>347</v>
      </c>
      <c r="C25" s="90">
        <f>Loans!$C$5</f>
        <v>110000</v>
      </c>
      <c r="D25" s="104">
        <f t="shared" si="1"/>
        <v>63864</v>
      </c>
      <c r="E25" s="104">
        <f>IF(B25="","",SUMIFS('June 2026 Expenses'!C:C, 'June 2026 Expenses'!A:A, "&gt;="&amp;DATEVALUE(B25), 'June 2026 Expenses'!A:A, "&lt;="&amp;EOMONTH(DATEVALUE(B25), 0)))</f>
        <v>0</v>
      </c>
      <c r="F25" s="114">
        <f t="shared" si="2"/>
        <v>46136</v>
      </c>
      <c r="G25" s="67"/>
      <c r="H25" s="69">
        <v>26494.0</v>
      </c>
      <c r="I25" s="156"/>
      <c r="J25" s="69">
        <v>15250.0</v>
      </c>
      <c r="K25" s="93"/>
      <c r="L25" s="156"/>
      <c r="M25" s="156"/>
      <c r="N25" s="156"/>
      <c r="O25" s="93"/>
      <c r="P25" s="69">
        <v>2600.0</v>
      </c>
      <c r="Q25" s="69">
        <v>2680.0</v>
      </c>
      <c r="R25" s="156"/>
      <c r="S25" s="156"/>
      <c r="T25" s="156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6" t="s">
        <v>111</v>
      </c>
      <c r="C26" s="54">
        <f>Loans!$C$5</f>
        <v>110000</v>
      </c>
      <c r="D26" s="137">
        <f t="shared" si="1"/>
        <v>63864</v>
      </c>
      <c r="E26" s="137">
        <f>IF(B26="","",SUMIFS('June 2026 Expenses'!C:C, 'June 2026 Expenses'!A:A, "&gt;="&amp;DATEVALUE(B26), 'June 2026 Expenses'!A:A, "&lt;="&amp;EOMONTH(DATEVALUE(B26), 0)))</f>
        <v>0</v>
      </c>
      <c r="F26" s="142">
        <f t="shared" si="2"/>
        <v>46136</v>
      </c>
      <c r="G26" s="80" t="s">
        <v>348</v>
      </c>
      <c r="H26" s="82">
        <v>26494.0</v>
      </c>
      <c r="I26" s="156"/>
      <c r="J26" s="82">
        <v>15250.0</v>
      </c>
      <c r="K26" s="93"/>
      <c r="L26" s="156"/>
      <c r="M26" s="156"/>
      <c r="N26" s="156"/>
      <c r="O26" s="93"/>
      <c r="P26" s="147">
        <v>2600.0</v>
      </c>
      <c r="Q26" s="82">
        <v>2680.0</v>
      </c>
      <c r="R26" s="156"/>
      <c r="S26" s="156"/>
      <c r="T26" s="156"/>
      <c r="U26" s="82">
        <v>5920.0</v>
      </c>
      <c r="V26" s="82">
        <v>5920.0</v>
      </c>
      <c r="W26" s="82">
        <v>5000.0</v>
      </c>
      <c r="X26" s="98"/>
    </row>
    <row r="27" ht="15.75" customHeight="1">
      <c r="B27" s="76" t="s">
        <v>114</v>
      </c>
      <c r="C27" s="54">
        <f>Loans!$C$5</f>
        <v>110000</v>
      </c>
      <c r="D27" s="137">
        <f t="shared" si="1"/>
        <v>61264</v>
      </c>
      <c r="E27" s="137">
        <f>IF(B27="","",SUMIFS('June 2026 Expenses'!C:C, 'June 2026 Expenses'!A:A, "&gt;="&amp;DATEVALUE(B27), 'June 2026 Expenses'!A:A, "&lt;="&amp;EOMONTH(DATEVALUE(B27), 0)))</f>
        <v>0</v>
      </c>
      <c r="F27" s="142">
        <f t="shared" si="2"/>
        <v>48736</v>
      </c>
      <c r="G27" s="80" t="s">
        <v>349</v>
      </c>
      <c r="H27" s="82">
        <v>26494.0</v>
      </c>
      <c r="I27" s="156"/>
      <c r="J27" s="82">
        <v>15250.0</v>
      </c>
      <c r="K27" s="93"/>
      <c r="L27" s="156"/>
      <c r="M27" s="156"/>
      <c r="N27" s="156"/>
      <c r="O27" s="93"/>
      <c r="P27" s="156"/>
      <c r="Q27" s="147">
        <v>2680.0</v>
      </c>
      <c r="R27" s="156"/>
      <c r="S27" s="156"/>
      <c r="T27" s="156"/>
      <c r="U27" s="82">
        <v>5920.0</v>
      </c>
      <c r="V27" s="82">
        <v>5920.0</v>
      </c>
      <c r="W27" s="82">
        <v>5000.0</v>
      </c>
      <c r="X27" s="98"/>
    </row>
    <row r="28" ht="15.75" customHeight="1">
      <c r="B28" s="94" t="s">
        <v>350</v>
      </c>
      <c r="C28" s="95">
        <f>Loans!$C$5</f>
        <v>110000</v>
      </c>
      <c r="D28" s="100">
        <f t="shared" si="1"/>
        <v>58584</v>
      </c>
      <c r="E28" s="100">
        <f>IF(B28="","",SUMIFS('June 2026 Expenses'!C:C, 'June 2026 Expenses'!A:A, "&gt;="&amp;DATEVALUE(B28), 'June 2026 Expenses'!A:A, "&lt;="&amp;EOMONTH(DATEVALUE(B28), 0)))</f>
        <v>0</v>
      </c>
      <c r="F28" s="101">
        <f t="shared" si="2"/>
        <v>51416</v>
      </c>
      <c r="G28" s="97"/>
      <c r="H28" s="98">
        <v>26494.0</v>
      </c>
      <c r="I28" s="156"/>
      <c r="J28" s="98">
        <v>15250.0</v>
      </c>
      <c r="K28" s="93"/>
      <c r="L28" s="156"/>
      <c r="M28" s="156"/>
      <c r="N28" s="156"/>
      <c r="O28" s="93"/>
      <c r="P28" s="156"/>
      <c r="Q28" s="156"/>
      <c r="R28" s="156"/>
      <c r="S28" s="156"/>
      <c r="T28" s="15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4">
        <f>Loans!$C$5</f>
        <v>110000</v>
      </c>
      <c r="D29" s="137">
        <f t="shared" si="1"/>
        <v>58584</v>
      </c>
      <c r="E29" s="137">
        <f>IF(B29="","",SUMIFS('June 2026 Expenses'!C:C, 'June 2026 Expenses'!A:A, "&gt;="&amp;DATEVALUE(B29), 'June 2026 Expenses'!A:A, "&lt;="&amp;EOMONTH(DATEVALUE(B29), 0)))</f>
        <v>0</v>
      </c>
      <c r="F29" s="142">
        <f t="shared" si="2"/>
        <v>51416</v>
      </c>
      <c r="G29" s="80" t="s">
        <v>351</v>
      </c>
      <c r="H29" s="82">
        <v>26494.0</v>
      </c>
      <c r="I29" s="156"/>
      <c r="J29" s="82">
        <v>15250.0</v>
      </c>
      <c r="K29" s="93"/>
      <c r="L29" s="156"/>
      <c r="M29" s="156"/>
      <c r="N29" s="156"/>
      <c r="O29" s="93"/>
      <c r="P29" s="156"/>
      <c r="Q29" s="156"/>
      <c r="R29" s="156"/>
      <c r="S29" s="156"/>
      <c r="T29" s="156"/>
      <c r="U29" s="147">
        <v>5920.0</v>
      </c>
      <c r="V29" s="147">
        <v>5920.0</v>
      </c>
      <c r="W29" s="82">
        <v>5000.0</v>
      </c>
      <c r="X29" s="98"/>
    </row>
    <row r="30" ht="15.75" customHeight="1">
      <c r="B30" s="94" t="s">
        <v>352</v>
      </c>
      <c r="C30" s="95">
        <f>Loans!$C$5</f>
        <v>110000</v>
      </c>
      <c r="D30" s="100">
        <f t="shared" si="1"/>
        <v>46744</v>
      </c>
      <c r="E30" s="100">
        <f>IF(B30="","",SUMIFS('June 2026 Expenses'!C:C, 'June 2026 Expenses'!A:A, "&gt;="&amp;DATEVALUE(B30), 'June 2026 Expenses'!A:A, "&lt;="&amp;EOMONTH(DATEVALUE(B30), 0)))</f>
        <v>0</v>
      </c>
      <c r="F30" s="101">
        <f t="shared" si="2"/>
        <v>63256</v>
      </c>
      <c r="G30" s="97"/>
      <c r="H30" s="98">
        <v>26494.0</v>
      </c>
      <c r="I30" s="156"/>
      <c r="J30" s="98">
        <v>15250.0</v>
      </c>
      <c r="K30" s="93"/>
      <c r="L30" s="156"/>
      <c r="M30" s="156"/>
      <c r="N30" s="156"/>
      <c r="O30" s="93"/>
      <c r="P30" s="156"/>
      <c r="Q30" s="156"/>
      <c r="R30" s="156"/>
      <c r="S30" s="156"/>
      <c r="T30" s="156"/>
      <c r="U30" s="156"/>
      <c r="V30" s="156"/>
      <c r="W30" s="98">
        <v>5000.0</v>
      </c>
      <c r="X30" s="98"/>
    </row>
    <row r="31" ht="15.75" customHeight="1">
      <c r="B31" s="53" t="s">
        <v>353</v>
      </c>
      <c r="C31" s="90">
        <f>Loans!$C$5</f>
        <v>110000</v>
      </c>
      <c r="D31" s="104">
        <f t="shared" si="1"/>
        <v>46744</v>
      </c>
      <c r="E31" s="104">
        <f>IF(B31="","",SUMIFS('June 2026 Expenses'!C:C, 'June 2026 Expenses'!A:A, "&gt;="&amp;DATEVALUE(B31), 'June 2026 Expenses'!A:A, "&lt;="&amp;EOMONTH(DATEVALUE(B31), 0)))</f>
        <v>0</v>
      </c>
      <c r="F31" s="114">
        <f t="shared" si="2"/>
        <v>63256</v>
      </c>
      <c r="G31" s="67"/>
      <c r="H31" s="69">
        <v>26494.0</v>
      </c>
      <c r="I31" s="156"/>
      <c r="J31" s="69">
        <v>15250.0</v>
      </c>
      <c r="K31" s="93"/>
      <c r="L31" s="156"/>
      <c r="M31" s="156"/>
      <c r="N31" s="156"/>
      <c r="O31" s="93"/>
      <c r="P31" s="156"/>
      <c r="Q31" s="156"/>
      <c r="R31" s="156"/>
      <c r="S31" s="156"/>
      <c r="T31" s="156"/>
      <c r="U31" s="156"/>
      <c r="V31" s="156"/>
      <c r="W31" s="69">
        <v>5000.0</v>
      </c>
      <c r="X31" s="98"/>
    </row>
    <row r="32" ht="15.75" customHeight="1">
      <c r="B32" s="94" t="s">
        <v>354</v>
      </c>
      <c r="C32" s="95">
        <f>Loans!$C$5</f>
        <v>110000</v>
      </c>
      <c r="D32" s="100">
        <f t="shared" si="1"/>
        <v>46744</v>
      </c>
      <c r="E32" s="100">
        <f>IF(B32="","",SUMIFS('June 2026 Expenses'!C:C, 'June 2026 Expenses'!A:A, "&gt;="&amp;DATEVALUE(B32), 'June 2026 Expenses'!A:A, "&lt;="&amp;EOMONTH(DATEVALUE(B32), 0)))</f>
        <v>0</v>
      </c>
      <c r="F32" s="101">
        <f t="shared" si="2"/>
        <v>63256</v>
      </c>
      <c r="G32" s="97"/>
      <c r="H32" s="98">
        <v>26494.0</v>
      </c>
      <c r="I32" s="156"/>
      <c r="J32" s="98">
        <v>15250.0</v>
      </c>
      <c r="K32" s="93"/>
      <c r="L32" s="156"/>
      <c r="M32" s="156"/>
      <c r="N32" s="156"/>
      <c r="O32" s="93"/>
      <c r="P32" s="156"/>
      <c r="Q32" s="156"/>
      <c r="R32" s="156"/>
      <c r="S32" s="156"/>
      <c r="T32" s="156"/>
      <c r="U32" s="156"/>
      <c r="V32" s="156"/>
      <c r="W32" s="98">
        <v>5000.0</v>
      </c>
      <c r="X32" s="98"/>
    </row>
    <row r="33" ht="15.75" customHeight="1">
      <c r="B33" s="53" t="s">
        <v>355</v>
      </c>
      <c r="C33" s="90">
        <f>Loans!$C$5</f>
        <v>110000</v>
      </c>
      <c r="D33" s="104">
        <f t="shared" si="1"/>
        <v>46744</v>
      </c>
      <c r="E33" s="104">
        <f>IF(B33="","",SUMIFS('June 2026 Expenses'!C:C, 'June 2026 Expenses'!A:A, "&gt;="&amp;DATEVALUE(B33), 'June 2026 Expenses'!A:A, "&lt;="&amp;EOMONTH(DATEVALUE(B33), 0)))</f>
        <v>0</v>
      </c>
      <c r="F33" s="114">
        <f t="shared" si="2"/>
        <v>63256</v>
      </c>
      <c r="G33" s="67"/>
      <c r="H33" s="69">
        <v>26494.0</v>
      </c>
      <c r="I33" s="156"/>
      <c r="J33" s="69">
        <v>15250.0</v>
      </c>
      <c r="K33" s="93"/>
      <c r="L33" s="156"/>
      <c r="M33" s="156"/>
      <c r="N33" s="156"/>
      <c r="O33" s="93"/>
      <c r="P33" s="156"/>
      <c r="Q33" s="156"/>
      <c r="R33" s="156"/>
      <c r="S33" s="156"/>
      <c r="T33" s="156"/>
      <c r="U33" s="156"/>
      <c r="V33" s="156"/>
      <c r="W33" s="69">
        <v>5000.0</v>
      </c>
      <c r="X33" s="98"/>
    </row>
    <row r="34" ht="15.75" customHeight="1">
      <c r="B34" s="94" t="s">
        <v>356</v>
      </c>
      <c r="C34" s="95">
        <f>Loans!$C$5</f>
        <v>110000</v>
      </c>
      <c r="D34" s="100">
        <f t="shared" si="1"/>
        <v>46744</v>
      </c>
      <c r="E34" s="100">
        <f>IF(B34="","",SUMIFS('June 2026 Expenses'!C:C, 'June 2026 Expenses'!A:A, "&gt;="&amp;DATEVALUE(B34), 'June 2026 Expenses'!A:A, "&lt;="&amp;EOMONTH(DATEVALUE(B34), 0)))</f>
        <v>0</v>
      </c>
      <c r="F34" s="101">
        <f t="shared" si="2"/>
        <v>63256</v>
      </c>
      <c r="G34" s="97"/>
      <c r="H34" s="98">
        <v>26494.0</v>
      </c>
      <c r="I34" s="156"/>
      <c r="J34" s="98">
        <v>15250.0</v>
      </c>
      <c r="K34" s="93"/>
      <c r="L34" s="156"/>
      <c r="M34" s="156"/>
      <c r="N34" s="156"/>
      <c r="O34" s="93"/>
      <c r="P34" s="156"/>
      <c r="Q34" s="156"/>
      <c r="R34" s="156"/>
      <c r="S34" s="156"/>
      <c r="T34" s="156"/>
      <c r="U34" s="156"/>
      <c r="V34" s="156"/>
      <c r="W34" s="98">
        <v>5000.0</v>
      </c>
      <c r="X34" s="98"/>
    </row>
    <row r="35" ht="15.75" customHeight="1">
      <c r="B35" s="76" t="s">
        <v>123</v>
      </c>
      <c r="C35" s="54">
        <f>Loans!$C$5</f>
        <v>110000</v>
      </c>
      <c r="D35" s="137">
        <f t="shared" si="1"/>
        <v>46744</v>
      </c>
      <c r="E35" s="137">
        <f>IF(B35="","",SUMIFS('June 2026 Expenses'!C:C, 'June 2026 Expenses'!A:A, "&gt;="&amp;DATEVALUE(B35), 'June 2026 Expenses'!A:A, "&lt;="&amp;EOMONTH(DATEVALUE(B35), 0)))</f>
        <v>0</v>
      </c>
      <c r="F35" s="142">
        <f t="shared" si="2"/>
        <v>63256</v>
      </c>
      <c r="G35" s="80" t="s">
        <v>357</v>
      </c>
      <c r="H35" s="82">
        <v>26494.0</v>
      </c>
      <c r="I35" s="156"/>
      <c r="J35" s="82">
        <v>15250.0</v>
      </c>
      <c r="K35" s="93"/>
      <c r="L35" s="156"/>
      <c r="M35" s="156"/>
      <c r="N35" s="156"/>
      <c r="O35" s="93"/>
      <c r="P35" s="156"/>
      <c r="Q35" s="156"/>
      <c r="R35" s="156"/>
      <c r="S35" s="156"/>
      <c r="T35" s="156"/>
      <c r="U35" s="156"/>
      <c r="V35" s="156"/>
      <c r="W35" s="147">
        <v>5000.0</v>
      </c>
      <c r="X35" s="98"/>
    </row>
    <row r="36" ht="15.75" customHeight="1">
      <c r="B36" s="94" t="s">
        <v>358</v>
      </c>
      <c r="C36" s="95">
        <f>Loans!$C$5</f>
        <v>110000</v>
      </c>
      <c r="D36" s="100">
        <f t="shared" si="1"/>
        <v>41744</v>
      </c>
      <c r="E36" s="100">
        <f>IF(B36="","",SUMIFS('June 2026 Expenses'!C:C, 'June 2026 Expenses'!A:A, "&gt;="&amp;DATEVALUE(B36), 'June 2026 Expenses'!A:A, "&lt;="&amp;EOMONTH(DATEVALUE(B36), 0)))</f>
        <v>0</v>
      </c>
      <c r="F36" s="101">
        <f t="shared" si="2"/>
        <v>68256</v>
      </c>
      <c r="G36" s="97"/>
      <c r="H36" s="98">
        <v>26494.0</v>
      </c>
      <c r="I36" s="156"/>
      <c r="J36" s="98">
        <v>15250.0</v>
      </c>
      <c r="K36" s="93"/>
      <c r="L36" s="156"/>
      <c r="M36" s="156"/>
      <c r="N36" s="156"/>
      <c r="O36" s="93"/>
      <c r="P36" s="156"/>
      <c r="Q36" s="156"/>
      <c r="R36" s="156"/>
      <c r="S36" s="156"/>
      <c r="T36" s="156"/>
      <c r="U36" s="156"/>
      <c r="V36" s="156"/>
      <c r="W36" s="156"/>
      <c r="X36" s="156"/>
    </row>
    <row r="37" ht="15.75" customHeight="1">
      <c r="B37" s="53" t="s">
        <v>359</v>
      </c>
      <c r="C37" s="90">
        <f>Loans!$C$5</f>
        <v>110000</v>
      </c>
      <c r="D37" s="104">
        <f t="shared" si="1"/>
        <v>41744</v>
      </c>
      <c r="E37" s="104">
        <f>IF(B37="","",SUMIFS('June 2026 Expenses'!C:C, 'June 2026 Expenses'!A:A, "&gt;="&amp;DATEVALUE(B37), 'June 2026 Expenses'!A:A, "&lt;="&amp;EOMONTH(DATEVALUE(B37), 0)))</f>
        <v>0</v>
      </c>
      <c r="F37" s="114">
        <f t="shared" si="2"/>
        <v>68256</v>
      </c>
      <c r="G37" s="67"/>
      <c r="H37" s="69">
        <v>26494.0</v>
      </c>
      <c r="I37" s="156"/>
      <c r="J37" s="69">
        <v>15250.0</v>
      </c>
      <c r="K37" s="93"/>
      <c r="L37" s="156"/>
      <c r="M37" s="156"/>
      <c r="N37" s="156"/>
      <c r="O37" s="93"/>
      <c r="P37" s="156"/>
      <c r="Q37" s="156"/>
      <c r="R37" s="156"/>
      <c r="S37" s="156"/>
      <c r="T37" s="156"/>
      <c r="U37" s="156"/>
      <c r="V37" s="156"/>
      <c r="W37" s="156"/>
      <c r="X37" s="156"/>
    </row>
    <row r="38" ht="15.75" customHeight="1">
      <c r="B38" s="94" t="s">
        <v>360</v>
      </c>
      <c r="C38" s="95">
        <f>Loans!$C$5</f>
        <v>110000</v>
      </c>
      <c r="D38" s="100">
        <f t="shared" si="1"/>
        <v>41744</v>
      </c>
      <c r="E38" s="100">
        <f>IF(B38="","",SUMIFS('June 2026 Expenses'!C:C, 'June 2026 Expenses'!A:A, "&gt;="&amp;DATEVALUE(B38), 'June 2026 Expenses'!A:A, "&lt;="&amp;EOMONTH(DATEVALUE(B38), 0)))</f>
        <v>0</v>
      </c>
      <c r="F38" s="101">
        <f t="shared" si="2"/>
        <v>68256</v>
      </c>
      <c r="G38" s="97"/>
      <c r="H38" s="98">
        <v>26494.0</v>
      </c>
      <c r="I38" s="156"/>
      <c r="J38" s="98">
        <v>15250.0</v>
      </c>
      <c r="K38" s="93"/>
      <c r="L38" s="156"/>
      <c r="M38" s="156"/>
      <c r="N38" s="156"/>
      <c r="O38" s="93"/>
      <c r="P38" s="156"/>
      <c r="Q38" s="156"/>
      <c r="R38" s="156"/>
      <c r="S38" s="156"/>
      <c r="T38" s="156"/>
      <c r="U38" s="156"/>
      <c r="V38" s="156"/>
      <c r="W38" s="156"/>
      <c r="X38" s="156"/>
    </row>
    <row r="39" ht="15.75" customHeight="1">
      <c r="B39" s="53" t="s">
        <v>361</v>
      </c>
      <c r="C39" s="90">
        <f>Loans!$C$5</f>
        <v>110000</v>
      </c>
      <c r="D39" s="104">
        <f t="shared" si="1"/>
        <v>41744</v>
      </c>
      <c r="E39" s="104">
        <f>IF(B39="","",SUMIFS('June 2026 Expenses'!C:C, 'June 2026 Expenses'!A:A, "&gt;="&amp;DATEVALUE(B39), 'June 2026 Expenses'!A:A, "&lt;="&amp;EOMONTH(DATEVALUE(B39), 0)))</f>
        <v>0</v>
      </c>
      <c r="F39" s="114">
        <f t="shared" si="2"/>
        <v>68256</v>
      </c>
      <c r="G39" s="67"/>
      <c r="H39" s="69">
        <v>26494.0</v>
      </c>
      <c r="I39" s="156"/>
      <c r="J39" s="69">
        <v>15250.0</v>
      </c>
      <c r="K39" s="93"/>
      <c r="L39" s="156"/>
      <c r="M39" s="156"/>
      <c r="N39" s="156"/>
      <c r="O39" s="93"/>
      <c r="P39" s="156"/>
      <c r="Q39" s="156"/>
      <c r="R39" s="156"/>
      <c r="S39" s="156"/>
      <c r="T39" s="156"/>
      <c r="U39" s="156"/>
      <c r="V39" s="156"/>
      <c r="W39" s="156"/>
      <c r="X39" s="156"/>
    </row>
    <row r="40" ht="15.75" customHeight="1">
      <c r="B40" s="94" t="s">
        <v>362</v>
      </c>
      <c r="C40" s="95">
        <f>Loans!$C$5</f>
        <v>110000</v>
      </c>
      <c r="D40" s="100">
        <f t="shared" si="1"/>
        <v>41744</v>
      </c>
      <c r="E40" s="100">
        <f>IF(B40="","",SUMIFS('June 2026 Expenses'!C:C, 'June 2026 Expenses'!A:A, "&gt;="&amp;DATEVALUE(B40), 'June 2026 Expenses'!A:A, "&lt;="&amp;EOMONTH(DATEVALUE(B40), 0)))</f>
        <v>0</v>
      </c>
      <c r="F40" s="101">
        <f t="shared" si="2"/>
        <v>68256</v>
      </c>
      <c r="G40" s="97"/>
      <c r="H40" s="98">
        <v>26494.0</v>
      </c>
      <c r="I40" s="156"/>
      <c r="J40" s="98">
        <v>15250.0</v>
      </c>
      <c r="K40" s="93"/>
      <c r="L40" s="156"/>
      <c r="M40" s="156"/>
      <c r="N40" s="156"/>
      <c r="O40" s="93"/>
      <c r="P40" s="156"/>
      <c r="Q40" s="156"/>
      <c r="R40" s="156"/>
      <c r="S40" s="156"/>
      <c r="T40" s="156"/>
      <c r="U40" s="156"/>
      <c r="V40" s="156"/>
      <c r="W40" s="156"/>
      <c r="X40" s="156"/>
    </row>
    <row r="41" ht="15.75" customHeight="1">
      <c r="B41" s="53" t="s">
        <v>292</v>
      </c>
      <c r="C41" s="90">
        <f>Loans!$C$5</f>
        <v>110000</v>
      </c>
      <c r="D41" s="104">
        <f t="shared" si="1"/>
        <v>41744</v>
      </c>
      <c r="E41" s="104">
        <f>IF(B41="","",SUMIFS('June 2026 Expenses'!C:C, 'June 2026 Expenses'!A:A, "&gt;="&amp;DATEVALUE(B41), 'June 2026 Expenses'!A:A, "&lt;="&amp;EOMONTH(DATEVALUE(B41), 0)))</f>
        <v>0</v>
      </c>
      <c r="F41" s="114">
        <f t="shared" si="2"/>
        <v>68256</v>
      </c>
      <c r="G41" s="192" t="s">
        <v>363</v>
      </c>
      <c r="H41" s="69">
        <v>26494.0</v>
      </c>
      <c r="I41" s="156"/>
      <c r="J41" s="69">
        <v>15250.0</v>
      </c>
      <c r="K41" s="93"/>
      <c r="L41" s="156"/>
      <c r="M41" s="156"/>
      <c r="N41" s="156"/>
      <c r="O41" s="93"/>
      <c r="P41" s="156"/>
      <c r="Q41" s="156"/>
      <c r="R41" s="156"/>
      <c r="S41" s="156"/>
      <c r="T41" s="156"/>
      <c r="U41" s="156"/>
      <c r="V41" s="156"/>
      <c r="W41" s="156"/>
      <c r="X41" s="156"/>
    </row>
    <row r="42" ht="15.75" customHeight="1">
      <c r="B42" s="94" t="s">
        <v>364</v>
      </c>
      <c r="C42" s="95">
        <f>Loans!$C$5</f>
        <v>110000</v>
      </c>
      <c r="D42" s="100">
        <f t="shared" si="1"/>
        <v>41744</v>
      </c>
      <c r="E42" s="100">
        <f>IF(B42="","",SUMIFS('June 2026 Expenses'!C:C, 'June 2026 Expenses'!A:A, "&gt;="&amp;DATEVALUE(B42), 'June 2026 Expenses'!A:A, "&lt;="&amp;EOMONTH(DATEVALUE(B42), 0)))</f>
        <v>0</v>
      </c>
      <c r="F42" s="101">
        <f t="shared" si="2"/>
        <v>68256</v>
      </c>
      <c r="G42" s="97"/>
      <c r="H42" s="98">
        <v>26494.0</v>
      </c>
      <c r="I42" s="156"/>
      <c r="J42" s="98">
        <v>15250.0</v>
      </c>
      <c r="K42" s="93"/>
      <c r="L42" s="156"/>
      <c r="M42" s="156"/>
      <c r="N42" s="156"/>
      <c r="O42" s="93"/>
      <c r="P42" s="156"/>
      <c r="Q42" s="156"/>
      <c r="R42" s="156"/>
      <c r="S42" s="156"/>
      <c r="T42" s="156"/>
      <c r="U42" s="156"/>
      <c r="V42" s="156"/>
      <c r="W42" s="156"/>
      <c r="X42" s="156"/>
    </row>
    <row r="43" ht="15.75" customHeight="1">
      <c r="B43" s="53" t="s">
        <v>365</v>
      </c>
      <c r="C43" s="90">
        <f>Loans!$C$5</f>
        <v>110000</v>
      </c>
      <c r="D43" s="104">
        <f t="shared" si="1"/>
        <v>41744</v>
      </c>
      <c r="E43" s="104">
        <f>IF(B43="","",SUMIFS('June 2026 Expenses'!C:C, 'June 2026 Expenses'!A:A, "&gt;="&amp;DATEVALUE(B43), 'June 2026 Expenses'!A:A, "&lt;="&amp;EOMONTH(DATEVALUE(B43), 0)))</f>
        <v>0</v>
      </c>
      <c r="F43" s="114">
        <f t="shared" si="2"/>
        <v>68256</v>
      </c>
      <c r="G43" s="67"/>
      <c r="H43" s="69">
        <v>26494.0</v>
      </c>
      <c r="I43" s="156"/>
      <c r="J43" s="69">
        <v>15250.0</v>
      </c>
      <c r="K43" s="93"/>
      <c r="L43" s="156"/>
      <c r="M43" s="156"/>
      <c r="N43" s="156"/>
      <c r="O43" s="93"/>
      <c r="P43" s="156"/>
      <c r="Q43" s="156"/>
      <c r="R43" s="156"/>
      <c r="S43" s="156"/>
      <c r="T43" s="156"/>
      <c r="U43" s="156"/>
      <c r="V43" s="156"/>
      <c r="W43" s="156"/>
      <c r="X43" s="156"/>
    </row>
    <row r="44" ht="15.75" customHeight="1">
      <c r="B44" s="94" t="s">
        <v>366</v>
      </c>
      <c r="C44" s="95">
        <f>Loans!$C$5</f>
        <v>110000</v>
      </c>
      <c r="D44" s="100">
        <f t="shared" si="1"/>
        <v>41744</v>
      </c>
      <c r="E44" s="100">
        <f>IF(B44="","",SUMIFS('June 2026 Expenses'!C:C, 'June 2026 Expenses'!A:A, "&gt;="&amp;DATEVALUE(B44), 'June 2026 Expenses'!A:A, "&lt;="&amp;EOMONTH(DATEVALUE(B44), 0)))</f>
        <v>0</v>
      </c>
      <c r="F44" s="101">
        <f t="shared" si="2"/>
        <v>68256</v>
      </c>
      <c r="G44" s="97"/>
      <c r="H44" s="98">
        <v>26494.0</v>
      </c>
      <c r="I44" s="156"/>
      <c r="J44" s="98">
        <v>15250.0</v>
      </c>
      <c r="K44" s="93"/>
      <c r="L44" s="156"/>
      <c r="M44" s="156"/>
      <c r="N44" s="156"/>
      <c r="O44" s="93"/>
      <c r="P44" s="156"/>
      <c r="Q44" s="156"/>
      <c r="R44" s="156"/>
      <c r="S44" s="156"/>
      <c r="T44" s="156"/>
      <c r="U44" s="156"/>
      <c r="V44" s="156"/>
      <c r="W44" s="156"/>
      <c r="X44" s="156"/>
    </row>
    <row r="45" ht="15.75" customHeight="1">
      <c r="B45" s="53" t="s">
        <v>367</v>
      </c>
      <c r="C45" s="90">
        <f>Loans!$C$5</f>
        <v>110000</v>
      </c>
      <c r="D45" s="104">
        <f t="shared" si="1"/>
        <v>41744</v>
      </c>
      <c r="E45" s="104">
        <f>IF(B45="","",SUMIFS('June 2026 Expenses'!C:C, 'June 2026 Expenses'!A:A, "&gt;="&amp;DATEVALUE(B45), 'June 2026 Expenses'!A:A, "&lt;="&amp;EOMONTH(DATEVALUE(B45), 0)))</f>
        <v>0</v>
      </c>
      <c r="F45" s="114">
        <f t="shared" si="2"/>
        <v>68256</v>
      </c>
      <c r="G45" s="67"/>
      <c r="H45" s="69">
        <v>26494.0</v>
      </c>
      <c r="I45" s="156"/>
      <c r="J45" s="69">
        <v>15250.0</v>
      </c>
      <c r="K45" s="93"/>
      <c r="L45" s="156"/>
      <c r="M45" s="156"/>
      <c r="N45" s="156"/>
      <c r="O45" s="93"/>
      <c r="P45" s="156"/>
      <c r="Q45" s="156"/>
      <c r="R45" s="156"/>
      <c r="S45" s="156"/>
      <c r="T45" s="156"/>
      <c r="U45" s="156"/>
      <c r="V45" s="156"/>
      <c r="W45" s="156"/>
      <c r="X45" s="156"/>
    </row>
    <row r="46" ht="15.75" customHeight="1">
      <c r="B46" s="94" t="s">
        <v>368</v>
      </c>
      <c r="C46" s="95">
        <f>Loans!$C$5</f>
        <v>110000</v>
      </c>
      <c r="D46" s="100">
        <f t="shared" si="1"/>
        <v>41744</v>
      </c>
      <c r="E46" s="100">
        <f>IF(B46="","",SUMIFS('June 2026 Expenses'!C:C, 'June 2026 Expenses'!A:A, "&gt;="&amp;DATEVALUE(B46), 'June 2026 Expenses'!A:A, "&lt;="&amp;EOMONTH(DATEVALUE(B46), 0)))</f>
        <v>0</v>
      </c>
      <c r="F46" s="101">
        <f t="shared" si="2"/>
        <v>68256</v>
      </c>
      <c r="G46" s="97"/>
      <c r="H46" s="98">
        <v>26494.0</v>
      </c>
      <c r="I46" s="156"/>
      <c r="J46" s="98">
        <v>15250.0</v>
      </c>
      <c r="K46" s="93"/>
      <c r="L46" s="156"/>
      <c r="M46" s="156"/>
      <c r="N46" s="156"/>
      <c r="O46" s="93"/>
      <c r="P46" s="156"/>
      <c r="Q46" s="156"/>
      <c r="R46" s="156"/>
      <c r="S46" s="156"/>
      <c r="T46" s="156"/>
      <c r="U46" s="156"/>
      <c r="V46" s="156"/>
      <c r="W46" s="156"/>
      <c r="X46" s="156"/>
    </row>
    <row r="47" ht="15.75" customHeight="1">
      <c r="B47" s="53" t="s">
        <v>369</v>
      </c>
      <c r="C47" s="90">
        <f>Loans!$C$5</f>
        <v>110000</v>
      </c>
      <c r="D47" s="104">
        <f t="shared" si="1"/>
        <v>41744</v>
      </c>
      <c r="E47" s="104">
        <f>IF(B47="","",SUMIFS('June 2026 Expenses'!C:C, 'June 2026 Expenses'!A:A, "&gt;="&amp;DATEVALUE(B47), 'June 2026 Expenses'!A:A, "&lt;="&amp;EOMONTH(DATEVALUE(B47), 0)))</f>
        <v>0</v>
      </c>
      <c r="F47" s="114">
        <f t="shared" si="2"/>
        <v>68256</v>
      </c>
      <c r="G47" s="67"/>
      <c r="H47" s="69">
        <v>26494.0</v>
      </c>
      <c r="I47" s="156"/>
      <c r="J47" s="69">
        <v>15250.0</v>
      </c>
      <c r="K47" s="93"/>
      <c r="L47" s="156"/>
      <c r="M47" s="156"/>
      <c r="N47" s="156"/>
      <c r="O47" s="93"/>
      <c r="P47" s="156"/>
      <c r="Q47" s="156"/>
      <c r="R47" s="156"/>
      <c r="S47" s="156"/>
      <c r="T47" s="156"/>
      <c r="U47" s="156"/>
      <c r="V47" s="156"/>
      <c r="W47" s="156"/>
      <c r="X47" s="156"/>
    </row>
    <row r="48" ht="15.75" customHeight="1">
      <c r="B48" s="94" t="s">
        <v>370</v>
      </c>
      <c r="C48" s="95">
        <f>Loans!$C$5</f>
        <v>110000</v>
      </c>
      <c r="D48" s="100">
        <f t="shared" si="1"/>
        <v>41744</v>
      </c>
      <c r="E48" s="100">
        <f>IF(B48="","",SUMIFS('June 2026 Expenses'!C:C, 'June 2026 Expenses'!A:A, "&gt;="&amp;DATEVALUE(B48), 'June 2026 Expenses'!A:A, "&lt;="&amp;EOMONTH(DATEVALUE(B48), 0)))</f>
        <v>0</v>
      </c>
      <c r="F48" s="101">
        <f t="shared" si="2"/>
        <v>68256</v>
      </c>
      <c r="G48" s="97"/>
      <c r="H48" s="98">
        <v>26494.0</v>
      </c>
      <c r="I48" s="156"/>
      <c r="J48" s="98">
        <v>15250.0</v>
      </c>
      <c r="K48" s="93"/>
      <c r="L48" s="156"/>
      <c r="M48" s="156"/>
      <c r="N48" s="156"/>
      <c r="O48" s="93"/>
      <c r="P48" s="156"/>
      <c r="Q48" s="156"/>
      <c r="R48" s="156"/>
      <c r="S48" s="156"/>
      <c r="T48" s="156"/>
      <c r="U48" s="156"/>
      <c r="V48" s="156"/>
      <c r="W48" s="156"/>
      <c r="X48" s="156"/>
    </row>
    <row r="49" ht="15.75" customHeight="1">
      <c r="B49" s="53" t="s">
        <v>371</v>
      </c>
      <c r="C49" s="90">
        <f>Loans!$C$5</f>
        <v>110000</v>
      </c>
      <c r="D49" s="104">
        <f t="shared" si="1"/>
        <v>41744</v>
      </c>
      <c r="E49" s="104">
        <f>IF(B49="","",SUMIFS('June 2026 Expenses'!C:C, 'June 2026 Expenses'!A:A, "&gt;="&amp;DATEVALUE(B49), 'June 2026 Expenses'!A:A, "&lt;="&amp;EOMONTH(DATEVALUE(B49), 0)))</f>
        <v>0</v>
      </c>
      <c r="F49" s="114">
        <f t="shared" si="2"/>
        <v>68256</v>
      </c>
      <c r="G49" s="67"/>
      <c r="H49" s="69">
        <v>26494.0</v>
      </c>
      <c r="I49" s="156"/>
      <c r="J49" s="69">
        <v>15250.0</v>
      </c>
      <c r="K49" s="93"/>
      <c r="L49" s="156"/>
      <c r="M49" s="156"/>
      <c r="N49" s="156"/>
      <c r="O49" s="93"/>
      <c r="P49" s="156"/>
      <c r="Q49" s="156"/>
      <c r="R49" s="156"/>
      <c r="S49" s="156"/>
      <c r="T49" s="156"/>
      <c r="U49" s="156"/>
      <c r="V49" s="156"/>
      <c r="W49" s="156"/>
      <c r="X49" s="156"/>
    </row>
    <row r="50" ht="15.75" customHeight="1">
      <c r="B50" s="94" t="s">
        <v>372</v>
      </c>
      <c r="C50" s="95">
        <f>Loans!$C$5</f>
        <v>110000</v>
      </c>
      <c r="D50" s="100">
        <f t="shared" si="1"/>
        <v>41744</v>
      </c>
      <c r="E50" s="100">
        <f>IF(B50="","",SUMIFS('June 2026 Expenses'!C:C, 'June 2026 Expenses'!A:A, "&gt;="&amp;DATEVALUE(B50), 'June 2026 Expenses'!A:A, "&lt;="&amp;EOMONTH(DATEVALUE(B50), 0)))</f>
        <v>0</v>
      </c>
      <c r="F50" s="101">
        <f t="shared" si="2"/>
        <v>68256</v>
      </c>
      <c r="G50" s="97"/>
      <c r="H50" s="98">
        <v>26494.0</v>
      </c>
      <c r="I50" s="156"/>
      <c r="J50" s="98">
        <v>15250.0</v>
      </c>
      <c r="K50" s="93"/>
      <c r="L50" s="156"/>
      <c r="M50" s="156"/>
      <c r="N50" s="156"/>
      <c r="O50" s="93"/>
      <c r="P50" s="156"/>
      <c r="Q50" s="156"/>
      <c r="R50" s="156"/>
      <c r="S50" s="156"/>
      <c r="T50" s="156"/>
      <c r="U50" s="156"/>
      <c r="V50" s="156"/>
      <c r="W50" s="156"/>
      <c r="X50" s="156"/>
    </row>
    <row r="51" ht="15.75" customHeight="1">
      <c r="B51" s="53" t="s">
        <v>373</v>
      </c>
      <c r="C51" s="90">
        <f>Loans!$C$5</f>
        <v>110000</v>
      </c>
      <c r="D51" s="104">
        <f t="shared" si="1"/>
        <v>41744</v>
      </c>
      <c r="E51" s="104">
        <f>IF(B51="","",SUMIFS('June 2026 Expenses'!C:C, 'June 2026 Expenses'!A:A, "&gt;="&amp;DATEVALUE(B51), 'June 2026 Expenses'!A:A, "&lt;="&amp;EOMONTH(DATEVALUE(B51), 0)))</f>
        <v>0</v>
      </c>
      <c r="F51" s="114">
        <f t="shared" si="2"/>
        <v>68256</v>
      </c>
      <c r="G51" s="67"/>
      <c r="H51" s="69">
        <v>26494.0</v>
      </c>
      <c r="I51" s="156"/>
      <c r="J51" s="69">
        <v>15250.0</v>
      </c>
      <c r="K51" s="93"/>
      <c r="L51" s="156"/>
      <c r="M51" s="156"/>
      <c r="N51" s="156"/>
      <c r="O51" s="93"/>
      <c r="P51" s="156"/>
      <c r="Q51" s="156"/>
      <c r="R51" s="156"/>
      <c r="S51" s="156"/>
      <c r="T51" s="156"/>
      <c r="U51" s="156"/>
      <c r="V51" s="156"/>
      <c r="W51" s="156"/>
      <c r="X51" s="156"/>
    </row>
    <row r="52" ht="15.75" customHeight="1">
      <c r="B52" s="94" t="s">
        <v>374</v>
      </c>
      <c r="C52" s="95">
        <f>Loans!$C$5</f>
        <v>110000</v>
      </c>
      <c r="D52" s="100">
        <f t="shared" si="1"/>
        <v>41744</v>
      </c>
      <c r="E52" s="100">
        <f>IF(B52="","",SUMIFS('June 2026 Expenses'!C:C, 'June 2026 Expenses'!A:A, "&gt;="&amp;DATEVALUE(B52), 'June 2026 Expenses'!A:A, "&lt;="&amp;EOMONTH(DATEVALUE(B52), 0)))</f>
        <v>0</v>
      </c>
      <c r="F52" s="101">
        <f t="shared" si="2"/>
        <v>68256</v>
      </c>
      <c r="G52" s="97"/>
      <c r="H52" s="98">
        <v>26494.0</v>
      </c>
      <c r="I52" s="156"/>
      <c r="J52" s="98">
        <v>15250.0</v>
      </c>
      <c r="K52" s="93"/>
      <c r="L52" s="156"/>
      <c r="M52" s="156"/>
      <c r="N52" s="156"/>
      <c r="O52" s="93"/>
      <c r="P52" s="156"/>
      <c r="Q52" s="156"/>
      <c r="R52" s="156"/>
      <c r="S52" s="156"/>
      <c r="T52" s="156"/>
      <c r="U52" s="156"/>
      <c r="V52" s="156"/>
      <c r="W52" s="156"/>
      <c r="X52" s="156"/>
    </row>
    <row r="53" ht="15.75" customHeight="1">
      <c r="B53" s="53" t="s">
        <v>375</v>
      </c>
      <c r="C53" s="90">
        <f>Loans!$C$5</f>
        <v>110000</v>
      </c>
      <c r="D53" s="104">
        <f t="shared" si="1"/>
        <v>41744</v>
      </c>
      <c r="E53" s="104">
        <f>IF(B53="","",SUMIFS('June 2026 Expenses'!C:C, 'June 2026 Expenses'!A:A, "&gt;="&amp;DATEVALUE(B53), 'June 2026 Expenses'!A:A, "&lt;="&amp;EOMONTH(DATEVALUE(B53), 0)))</f>
        <v>0</v>
      </c>
      <c r="F53" s="114">
        <f t="shared" si="2"/>
        <v>68256</v>
      </c>
      <c r="G53" s="67"/>
      <c r="H53" s="69">
        <v>26494.0</v>
      </c>
      <c r="I53" s="156"/>
      <c r="J53" s="69">
        <v>15250.0</v>
      </c>
      <c r="K53" s="93"/>
      <c r="L53" s="156"/>
      <c r="M53" s="156"/>
      <c r="N53" s="156"/>
      <c r="O53" s="93"/>
      <c r="P53" s="156"/>
      <c r="Q53" s="156"/>
      <c r="R53" s="156"/>
      <c r="S53" s="156"/>
      <c r="T53" s="156"/>
      <c r="U53" s="156"/>
      <c r="V53" s="156"/>
      <c r="W53" s="156"/>
      <c r="X53" s="156"/>
    </row>
    <row r="54" ht="15.75" customHeight="1">
      <c r="B54" s="94" t="s">
        <v>376</v>
      </c>
      <c r="C54" s="95">
        <f>Loans!$C$5</f>
        <v>110000</v>
      </c>
      <c r="D54" s="100">
        <f t="shared" si="1"/>
        <v>41744</v>
      </c>
      <c r="E54" s="100">
        <f>IF(B54="","",SUMIFS('June 2026 Expenses'!C:C, 'June 2026 Expenses'!A:A, "&gt;="&amp;DATEVALUE(B54), 'June 2026 Expenses'!A:A, "&lt;="&amp;EOMONTH(DATEVALUE(B54), 0)))</f>
        <v>0</v>
      </c>
      <c r="F54" s="101">
        <f t="shared" si="2"/>
        <v>68256</v>
      </c>
      <c r="G54" s="97"/>
      <c r="H54" s="98">
        <v>26494.0</v>
      </c>
      <c r="I54" s="156"/>
      <c r="J54" s="98">
        <v>15250.0</v>
      </c>
      <c r="K54" s="93"/>
      <c r="L54" s="156"/>
      <c r="M54" s="156"/>
      <c r="N54" s="156"/>
      <c r="O54" s="93"/>
      <c r="P54" s="156"/>
      <c r="Q54" s="156"/>
      <c r="R54" s="156"/>
      <c r="S54" s="156"/>
      <c r="T54" s="156"/>
      <c r="U54" s="156"/>
      <c r="V54" s="156"/>
      <c r="W54" s="156"/>
      <c r="X54" s="156"/>
    </row>
    <row r="55" ht="15.75" customHeight="1">
      <c r="B55" s="53" t="s">
        <v>377</v>
      </c>
      <c r="C55" s="90">
        <f>Loans!$C$5</f>
        <v>110000</v>
      </c>
      <c r="D55" s="104">
        <f t="shared" si="1"/>
        <v>41744</v>
      </c>
      <c r="E55" s="104">
        <f>IF(B55="","",SUMIFS('June 2026 Expenses'!C:C, 'June 2026 Expenses'!A:A, "&gt;="&amp;DATEVALUE(B55), 'June 2026 Expenses'!A:A, "&lt;="&amp;EOMONTH(DATEVALUE(B55), 0)))</f>
        <v>0</v>
      </c>
      <c r="F55" s="114">
        <f t="shared" si="2"/>
        <v>68256</v>
      </c>
      <c r="G55" s="67"/>
      <c r="H55" s="69">
        <v>26494.0</v>
      </c>
      <c r="I55" s="156"/>
      <c r="J55" s="69">
        <v>15250.0</v>
      </c>
      <c r="K55" s="93"/>
      <c r="L55" s="156"/>
      <c r="M55" s="156"/>
      <c r="N55" s="156"/>
      <c r="O55" s="93"/>
      <c r="P55" s="156"/>
      <c r="Q55" s="156"/>
      <c r="R55" s="156"/>
      <c r="S55" s="156"/>
      <c r="T55" s="156"/>
      <c r="U55" s="156"/>
      <c r="V55" s="156"/>
      <c r="W55" s="156"/>
      <c r="X55" s="156"/>
    </row>
    <row r="56" ht="15.75" customHeight="1">
      <c r="B56" s="94" t="s">
        <v>378</v>
      </c>
      <c r="C56" s="95">
        <f>Loans!$C$5</f>
        <v>110000</v>
      </c>
      <c r="D56" s="100">
        <f t="shared" si="1"/>
        <v>41744</v>
      </c>
      <c r="E56" s="100">
        <f>IF(B56="","",SUMIFS('June 2026 Expenses'!C:C, 'June 2026 Expenses'!A:A, "&gt;="&amp;DATEVALUE(B56), 'June 2026 Expenses'!A:A, "&lt;="&amp;EOMONTH(DATEVALUE(B56), 0)))</f>
        <v>0</v>
      </c>
      <c r="F56" s="101">
        <f t="shared" si="2"/>
        <v>68256</v>
      </c>
      <c r="G56" s="97"/>
      <c r="H56" s="98">
        <v>26494.0</v>
      </c>
      <c r="I56" s="156"/>
      <c r="J56" s="98">
        <v>15250.0</v>
      </c>
      <c r="K56" s="93"/>
      <c r="L56" s="156"/>
      <c r="M56" s="156"/>
      <c r="N56" s="156"/>
      <c r="O56" s="93"/>
      <c r="P56" s="156"/>
      <c r="Q56" s="156"/>
      <c r="R56" s="156"/>
      <c r="S56" s="156"/>
      <c r="T56" s="156"/>
      <c r="U56" s="156"/>
      <c r="V56" s="156"/>
      <c r="W56" s="156"/>
      <c r="X56" s="156"/>
    </row>
    <row r="57" ht="15.75" customHeight="1">
      <c r="B57" s="53" t="s">
        <v>379</v>
      </c>
      <c r="C57" s="90">
        <f>Loans!$C$5</f>
        <v>110000</v>
      </c>
      <c r="D57" s="104">
        <f t="shared" si="1"/>
        <v>41744</v>
      </c>
      <c r="E57" s="104">
        <f>IF(B57="","",SUMIFS('June 2026 Expenses'!C:C, 'June 2026 Expenses'!A:A, "&gt;="&amp;DATEVALUE(B57), 'June 2026 Expenses'!A:A, "&lt;="&amp;EOMONTH(DATEVALUE(B57), 0)))</f>
        <v>0</v>
      </c>
      <c r="F57" s="114">
        <f t="shared" si="2"/>
        <v>68256</v>
      </c>
      <c r="G57" s="67"/>
      <c r="H57" s="69">
        <v>26494.0</v>
      </c>
      <c r="I57" s="156"/>
      <c r="J57" s="69">
        <v>15250.0</v>
      </c>
      <c r="K57" s="93"/>
      <c r="L57" s="156"/>
      <c r="M57" s="156"/>
      <c r="N57" s="156"/>
      <c r="O57" s="93"/>
      <c r="P57" s="156"/>
      <c r="Q57" s="156"/>
      <c r="R57" s="156"/>
      <c r="S57" s="156"/>
      <c r="T57" s="156"/>
      <c r="U57" s="156"/>
      <c r="V57" s="156"/>
      <c r="W57" s="156"/>
      <c r="X57" s="156"/>
    </row>
    <row r="58" ht="15.75" customHeight="1">
      <c r="B58" s="94" t="s">
        <v>380</v>
      </c>
      <c r="C58" s="95">
        <f>Loans!$C$5</f>
        <v>110000</v>
      </c>
      <c r="D58" s="100">
        <f t="shared" si="1"/>
        <v>41744</v>
      </c>
      <c r="E58" s="100">
        <f>IF(B58="","",SUMIFS('June 2026 Expenses'!C:C, 'June 2026 Expenses'!A:A, "&gt;="&amp;DATEVALUE(B58), 'June 2026 Expenses'!A:A, "&lt;="&amp;EOMONTH(DATEVALUE(B58), 0)))</f>
        <v>0</v>
      </c>
      <c r="F58" s="101">
        <f t="shared" si="2"/>
        <v>68256</v>
      </c>
      <c r="G58" s="97"/>
      <c r="H58" s="98">
        <v>26494.0</v>
      </c>
      <c r="I58" s="156"/>
      <c r="J58" s="98">
        <v>15250.0</v>
      </c>
      <c r="K58" s="93"/>
      <c r="L58" s="156"/>
      <c r="M58" s="156"/>
      <c r="N58" s="156"/>
      <c r="O58" s="93"/>
      <c r="P58" s="156"/>
      <c r="Q58" s="156"/>
      <c r="R58" s="156"/>
      <c r="S58" s="156"/>
      <c r="T58" s="156"/>
      <c r="U58" s="156"/>
      <c r="V58" s="156"/>
      <c r="W58" s="156"/>
      <c r="X58" s="156"/>
    </row>
    <row r="59" ht="15.75" customHeight="1">
      <c r="B59" s="76" t="s">
        <v>58</v>
      </c>
      <c r="C59" s="54">
        <f>Loans!$C$5</f>
        <v>110000</v>
      </c>
      <c r="D59" s="137">
        <f t="shared" si="1"/>
        <v>41744</v>
      </c>
      <c r="E59" s="137">
        <f>IF(B59="","",SUMIFS('June 2026 Expenses'!C:C, 'June 2026 Expenses'!A:A, "&gt;="&amp;DATEVALUE(B59), 'June 2026 Expenses'!A:A, "&lt;="&amp;EOMONTH(DATEVALUE(B59), 0)))</f>
        <v>0</v>
      </c>
      <c r="F59" s="142">
        <f t="shared" si="2"/>
        <v>68256</v>
      </c>
      <c r="G59" s="80" t="s">
        <v>381</v>
      </c>
      <c r="H59" s="82">
        <v>26494.0</v>
      </c>
      <c r="I59" s="156"/>
      <c r="J59" s="147">
        <v>15250.0</v>
      </c>
      <c r="K59" s="93"/>
      <c r="L59" s="156"/>
      <c r="M59" s="156"/>
      <c r="N59" s="156"/>
      <c r="O59" s="93"/>
      <c r="P59" s="156"/>
      <c r="Q59" s="156"/>
      <c r="R59" s="156"/>
      <c r="S59" s="156"/>
      <c r="T59" s="156"/>
      <c r="U59" s="156"/>
      <c r="V59" s="156"/>
      <c r="W59" s="156"/>
      <c r="X59" s="15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13</v>
      </c>
    </row>
    <row r="3">
      <c r="A3" s="18" t="s">
        <v>16</v>
      </c>
      <c r="B3" s="18" t="s">
        <v>19</v>
      </c>
      <c r="C3" s="18" t="s">
        <v>20</v>
      </c>
      <c r="D3" s="18" t="s">
        <v>21</v>
      </c>
    </row>
    <row r="4">
      <c r="A4" s="25">
        <v>46174.0</v>
      </c>
      <c r="B4" s="27" t="s">
        <v>29</v>
      </c>
      <c r="C4" s="29">
        <v>1000.0</v>
      </c>
      <c r="D4" s="31">
        <v>46174.0</v>
      </c>
    </row>
    <row r="5">
      <c r="A5" s="25">
        <v>46175.0</v>
      </c>
      <c r="B5" s="27" t="s">
        <v>35</v>
      </c>
      <c r="C5" s="29">
        <v>12000.0</v>
      </c>
      <c r="D5" s="31">
        <v>46174.0</v>
      </c>
    </row>
    <row r="6">
      <c r="A6" s="25">
        <v>46176.0</v>
      </c>
      <c r="B6" s="27" t="s">
        <v>37</v>
      </c>
      <c r="C6" s="29">
        <v>2000.0</v>
      </c>
      <c r="D6" s="31">
        <v>46176.0</v>
      </c>
    </row>
    <row r="7">
      <c r="A7" s="25">
        <v>46177.0</v>
      </c>
      <c r="B7" s="27" t="s">
        <v>40</v>
      </c>
      <c r="C7" s="29">
        <v>3000.0</v>
      </c>
      <c r="D7" s="31">
        <v>46177.0</v>
      </c>
    </row>
    <row r="8">
      <c r="A8" s="25">
        <v>46178.0</v>
      </c>
      <c r="B8" s="38" t="s">
        <v>40</v>
      </c>
      <c r="C8" s="41">
        <v>1500.0</v>
      </c>
      <c r="D8" s="43">
        <v>46177.0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>
      <c r="A9" s="25">
        <v>46179.0</v>
      </c>
      <c r="B9" s="27" t="s">
        <v>56</v>
      </c>
      <c r="C9" s="29">
        <v>585.0</v>
      </c>
      <c r="D9" s="31">
        <v>46179.0</v>
      </c>
    </row>
    <row r="10">
      <c r="A10" s="25">
        <v>46180.0</v>
      </c>
      <c r="B10" s="27" t="s">
        <v>61</v>
      </c>
      <c r="C10" s="29">
        <v>4208.0</v>
      </c>
      <c r="D10" s="27" t="s">
        <v>63</v>
      </c>
    </row>
    <row r="11">
      <c r="A11" s="25">
        <v>46181.0</v>
      </c>
      <c r="B11" s="27" t="s">
        <v>37</v>
      </c>
      <c r="C11" s="29">
        <v>2000.0</v>
      </c>
      <c r="D11" s="51"/>
    </row>
    <row r="12">
      <c r="A12" s="25">
        <v>46182.0</v>
      </c>
      <c r="B12" s="27" t="s">
        <v>70</v>
      </c>
      <c r="C12" s="29">
        <v>2000.0</v>
      </c>
      <c r="D12" s="27" t="s">
        <v>71</v>
      </c>
    </row>
    <row r="13">
      <c r="A13" s="25">
        <v>46174.0</v>
      </c>
      <c r="B13" s="27" t="s">
        <v>72</v>
      </c>
      <c r="C13" s="29">
        <v>9975.0</v>
      </c>
      <c r="D13" s="27" t="s">
        <v>74</v>
      </c>
    </row>
    <row r="14">
      <c r="A14" s="25">
        <v>46174.0</v>
      </c>
      <c r="B14" s="27" t="s">
        <v>76</v>
      </c>
      <c r="C14" s="29">
        <v>185.0</v>
      </c>
      <c r="D14" s="27" t="s">
        <v>74</v>
      </c>
    </row>
    <row r="15">
      <c r="A15" s="25">
        <v>46174.0</v>
      </c>
      <c r="B15" s="27" t="s">
        <v>77</v>
      </c>
      <c r="C15" s="29">
        <v>650.0</v>
      </c>
      <c r="D15" s="27" t="s">
        <v>74</v>
      </c>
    </row>
    <row r="16">
      <c r="A16" s="25">
        <v>46174.0</v>
      </c>
      <c r="B16" s="27" t="s">
        <v>78</v>
      </c>
      <c r="C16" s="29">
        <v>5077.0</v>
      </c>
      <c r="D16" s="27" t="s">
        <v>79</v>
      </c>
    </row>
    <row r="17">
      <c r="A17" s="25">
        <v>46174.0</v>
      </c>
      <c r="B17" s="27" t="s">
        <v>80</v>
      </c>
      <c r="C17" s="29">
        <v>716.0</v>
      </c>
      <c r="D17" s="27" t="s">
        <v>81</v>
      </c>
    </row>
    <row r="18">
      <c r="A18" s="25">
        <v>46175.0</v>
      </c>
      <c r="B18" s="27" t="s">
        <v>83</v>
      </c>
      <c r="C18" s="29">
        <v>5000.0</v>
      </c>
      <c r="D18" s="27" t="s">
        <v>81</v>
      </c>
    </row>
    <row r="19">
      <c r="A19" s="25">
        <v>46176.0</v>
      </c>
      <c r="B19" s="27" t="s">
        <v>84</v>
      </c>
      <c r="C19" s="29">
        <v>2000.0</v>
      </c>
      <c r="D19" s="27" t="s">
        <v>81</v>
      </c>
    </row>
    <row r="20">
      <c r="A20" s="25">
        <v>46177.0</v>
      </c>
      <c r="B20" s="27" t="s">
        <v>86</v>
      </c>
      <c r="C20" s="29">
        <v>240.0</v>
      </c>
      <c r="D20" s="27" t="s">
        <v>81</v>
      </c>
    </row>
    <row r="21">
      <c r="A21" s="25">
        <v>46178.0</v>
      </c>
      <c r="B21" s="27" t="s">
        <v>88</v>
      </c>
      <c r="C21" s="29">
        <v>512.0</v>
      </c>
      <c r="D21" s="27" t="s">
        <v>89</v>
      </c>
    </row>
    <row r="22">
      <c r="A22" s="25">
        <v>46179.0</v>
      </c>
      <c r="B22" s="27" t="s">
        <v>90</v>
      </c>
      <c r="C22" s="29">
        <v>3000.0</v>
      </c>
      <c r="D22" s="27" t="s">
        <v>89</v>
      </c>
    </row>
    <row r="23">
      <c r="A23" s="25">
        <v>46180.0</v>
      </c>
      <c r="B23" s="27" t="s">
        <v>91</v>
      </c>
      <c r="C23" s="29">
        <v>15230.0</v>
      </c>
      <c r="D23" s="27" t="s">
        <v>89</v>
      </c>
    </row>
    <row r="24">
      <c r="A24" s="25">
        <v>46181.0</v>
      </c>
      <c r="B24" s="27" t="s">
        <v>92</v>
      </c>
      <c r="C24" s="29">
        <v>1950.0</v>
      </c>
      <c r="D24" s="27" t="s">
        <v>89</v>
      </c>
    </row>
    <row r="25">
      <c r="A25" s="25">
        <v>46182.0</v>
      </c>
      <c r="B25" s="27" t="s">
        <v>93</v>
      </c>
      <c r="C25" s="29">
        <v>500.0</v>
      </c>
      <c r="D25" s="27" t="s">
        <v>94</v>
      </c>
    </row>
    <row r="26">
      <c r="A26" s="25">
        <v>46183.0</v>
      </c>
      <c r="B26" s="27" t="s">
        <v>95</v>
      </c>
      <c r="C26" s="29">
        <v>850.0</v>
      </c>
      <c r="D26" s="27" t="s">
        <v>94</v>
      </c>
    </row>
    <row r="27">
      <c r="A27" s="25">
        <v>46184.0</v>
      </c>
      <c r="B27" s="27" t="s">
        <v>97</v>
      </c>
      <c r="C27" s="29">
        <v>3000.0</v>
      </c>
      <c r="D27" s="27" t="s">
        <v>98</v>
      </c>
    </row>
    <row r="28">
      <c r="A28" s="25">
        <v>46185.0</v>
      </c>
      <c r="B28" s="27" t="s">
        <v>100</v>
      </c>
      <c r="C28" s="29">
        <v>4000.0</v>
      </c>
      <c r="D28" s="27" t="s">
        <v>98</v>
      </c>
    </row>
    <row r="29">
      <c r="A29" s="25">
        <v>46186.0</v>
      </c>
      <c r="B29" s="27" t="s">
        <v>101</v>
      </c>
      <c r="C29" s="29">
        <v>9855.0</v>
      </c>
      <c r="D29" s="27" t="s">
        <v>103</v>
      </c>
    </row>
    <row r="30">
      <c r="A30" s="25">
        <v>46187.0</v>
      </c>
      <c r="B30" s="27" t="s">
        <v>104</v>
      </c>
      <c r="C30" s="29">
        <v>590.0</v>
      </c>
      <c r="D30" s="31">
        <v>46181.0</v>
      </c>
    </row>
    <row r="31">
      <c r="A31" s="25">
        <v>46188.0</v>
      </c>
      <c r="B31" s="27" t="s">
        <v>105</v>
      </c>
      <c r="C31" s="29">
        <v>2000.0</v>
      </c>
      <c r="D31" s="31">
        <v>46184.0</v>
      </c>
    </row>
    <row r="32">
      <c r="A32" s="25">
        <v>46189.0</v>
      </c>
      <c r="B32" s="27" t="s">
        <v>106</v>
      </c>
      <c r="C32" s="29">
        <v>6000.0</v>
      </c>
      <c r="D32" s="31">
        <v>46191.0</v>
      </c>
    </row>
    <row r="33">
      <c r="A33" s="25">
        <v>46174.0</v>
      </c>
      <c r="B33" s="27" t="s">
        <v>108</v>
      </c>
      <c r="C33" s="29">
        <v>1070.0</v>
      </c>
      <c r="D33" s="31">
        <v>46193.0</v>
      </c>
    </row>
    <row r="34">
      <c r="A34" s="25">
        <v>46174.0</v>
      </c>
      <c r="B34" s="27" t="s">
        <v>110</v>
      </c>
      <c r="C34" s="29">
        <v>5000.0</v>
      </c>
      <c r="D34" s="31">
        <v>46193.0</v>
      </c>
    </row>
    <row r="35">
      <c r="A35" s="25">
        <v>46174.0</v>
      </c>
      <c r="B35" s="27" t="s">
        <v>112</v>
      </c>
      <c r="C35" s="29">
        <v>850.0</v>
      </c>
      <c r="D35" s="31">
        <v>46194.0</v>
      </c>
    </row>
    <row r="36">
      <c r="A36" s="25">
        <v>46174.0</v>
      </c>
      <c r="B36" s="27" t="s">
        <v>113</v>
      </c>
      <c r="C36" s="29">
        <v>220.0</v>
      </c>
      <c r="D36" s="31">
        <v>46194.0</v>
      </c>
    </row>
    <row r="37">
      <c r="A37" s="25">
        <v>46174.0</v>
      </c>
      <c r="B37" s="27" t="s">
        <v>115</v>
      </c>
      <c r="C37" s="29">
        <v>27500.0</v>
      </c>
      <c r="D37" s="27" t="s">
        <v>116</v>
      </c>
    </row>
    <row r="38">
      <c r="A38" s="51"/>
      <c r="B38" s="51"/>
      <c r="C38" s="72"/>
      <c r="D38" s="51"/>
    </row>
    <row r="39">
      <c r="A39" s="51"/>
      <c r="B39" s="51"/>
      <c r="C39" s="72"/>
      <c r="D39" s="51"/>
    </row>
    <row r="40">
      <c r="A40" s="51"/>
      <c r="B40" s="51"/>
      <c r="C40" s="72"/>
      <c r="D40" s="51"/>
    </row>
    <row r="41">
      <c r="A41" s="51"/>
      <c r="B41" s="51"/>
      <c r="C41" s="72"/>
      <c r="D41" s="51"/>
    </row>
    <row r="42">
      <c r="A42" s="51"/>
      <c r="B42" s="51"/>
      <c r="C42" s="72"/>
      <c r="D42" s="51"/>
    </row>
    <row r="43">
      <c r="A43" s="51"/>
      <c r="B43" s="51"/>
      <c r="C43" s="72"/>
      <c r="D43" s="51"/>
    </row>
    <row r="44">
      <c r="A44" s="51"/>
      <c r="B44" s="51"/>
      <c r="C44" s="72"/>
      <c r="D44" s="51"/>
    </row>
    <row r="45">
      <c r="A45" s="51"/>
      <c r="B45" s="51"/>
      <c r="C45" s="72"/>
      <c r="D45" s="51"/>
    </row>
    <row r="46">
      <c r="A46" s="51"/>
      <c r="B46" s="51"/>
      <c r="C46" s="72"/>
      <c r="D46" s="51"/>
    </row>
    <row r="47">
      <c r="A47" s="51"/>
      <c r="B47" s="51"/>
      <c r="C47" s="72"/>
      <c r="D47" s="51"/>
    </row>
    <row r="48">
      <c r="A48" s="51"/>
      <c r="B48" s="51"/>
      <c r="C48" s="72"/>
      <c r="D48" s="51"/>
    </row>
    <row r="49">
      <c r="A49" s="51"/>
      <c r="B49" s="51"/>
      <c r="C49" s="72"/>
      <c r="D49" s="51"/>
    </row>
    <row r="50">
      <c r="A50" s="51"/>
      <c r="B50" s="51"/>
      <c r="C50" s="72"/>
      <c r="D50" s="51"/>
    </row>
    <row r="51">
      <c r="A51" s="51"/>
      <c r="B51" s="51"/>
      <c r="C51" s="72"/>
      <c r="D51" s="51"/>
    </row>
    <row r="52">
      <c r="A52" s="51"/>
      <c r="B52" s="51"/>
      <c r="C52" s="72"/>
      <c r="D52" s="51"/>
    </row>
    <row r="53">
      <c r="A53" s="51"/>
      <c r="B53" s="51"/>
      <c r="C53" s="72"/>
      <c r="D53" s="51"/>
    </row>
    <row r="54">
      <c r="A54" s="51"/>
      <c r="B54" s="51"/>
      <c r="C54" s="72"/>
      <c r="D54" s="51"/>
    </row>
    <row r="55">
      <c r="A55" s="51"/>
      <c r="B55" s="51"/>
      <c r="C55" s="72"/>
      <c r="D55" s="51"/>
    </row>
    <row r="56">
      <c r="A56" s="51"/>
      <c r="B56" s="51"/>
      <c r="C56" s="72"/>
      <c r="D56" s="51"/>
    </row>
    <row r="57">
      <c r="A57" s="51"/>
      <c r="B57" s="51"/>
      <c r="C57" s="72"/>
      <c r="D57" s="51"/>
    </row>
    <row r="58">
      <c r="A58" s="51"/>
      <c r="B58" s="51"/>
      <c r="C58" s="72"/>
      <c r="D58" s="51"/>
    </row>
    <row r="59">
      <c r="A59" s="51"/>
      <c r="B59" s="51"/>
      <c r="C59" s="72"/>
      <c r="D59" s="51"/>
    </row>
    <row r="60">
      <c r="A60" s="51"/>
      <c r="B60" s="51"/>
      <c r="C60" s="72"/>
      <c r="D60" s="51"/>
    </row>
    <row r="61">
      <c r="A61" s="51"/>
      <c r="B61" s="51"/>
      <c r="C61" s="72"/>
      <c r="D61" s="51"/>
    </row>
    <row r="62">
      <c r="A62" s="51"/>
      <c r="B62" s="51"/>
      <c r="C62" s="72"/>
      <c r="D62" s="51"/>
    </row>
    <row r="63">
      <c r="A63" s="51"/>
      <c r="B63" s="51"/>
      <c r="C63" s="72"/>
      <c r="D63" s="51"/>
    </row>
    <row r="64">
      <c r="A64" s="51"/>
      <c r="B64" s="51"/>
      <c r="C64" s="72"/>
      <c r="D64" s="51"/>
    </row>
    <row r="65">
      <c r="A65" s="51"/>
      <c r="B65" s="51"/>
      <c r="C65" s="72"/>
      <c r="D65" s="51"/>
    </row>
    <row r="66">
      <c r="A66" s="51"/>
      <c r="B66" s="51"/>
      <c r="C66" s="72"/>
      <c r="D66" s="51"/>
    </row>
    <row r="67">
      <c r="A67" s="51"/>
      <c r="B67" s="51"/>
      <c r="C67" s="72"/>
      <c r="D67" s="51"/>
    </row>
    <row r="68">
      <c r="A68" s="51"/>
      <c r="B68" s="51"/>
      <c r="C68" s="72"/>
      <c r="D68" s="51"/>
    </row>
    <row r="69">
      <c r="A69" s="51"/>
      <c r="B69" s="51"/>
      <c r="C69" s="72"/>
      <c r="D69" s="51"/>
    </row>
    <row r="70">
      <c r="A70" s="51"/>
      <c r="B70" s="51"/>
      <c r="C70" s="72"/>
      <c r="D70" s="51"/>
    </row>
    <row r="71">
      <c r="A71" s="51"/>
      <c r="B71" s="51"/>
      <c r="C71" s="72"/>
      <c r="D71" s="51"/>
    </row>
    <row r="72">
      <c r="A72" s="51"/>
      <c r="B72" s="51"/>
      <c r="C72" s="72"/>
      <c r="D72" s="51"/>
    </row>
    <row r="73">
      <c r="A73" s="51"/>
      <c r="B73" s="51"/>
      <c r="C73" s="72"/>
      <c r="D73" s="51"/>
    </row>
    <row r="74">
      <c r="A74" s="51"/>
      <c r="B74" s="51"/>
      <c r="C74" s="72"/>
      <c r="D74" s="51"/>
    </row>
    <row r="75">
      <c r="A75" s="51"/>
      <c r="B75" s="51"/>
      <c r="C75" s="72"/>
      <c r="D75" s="51"/>
    </row>
    <row r="76">
      <c r="A76" s="51"/>
      <c r="B76" s="51"/>
      <c r="C76" s="72"/>
      <c r="D76" s="51"/>
    </row>
    <row r="77">
      <c r="A77" s="51"/>
      <c r="B77" s="51"/>
      <c r="C77" s="72"/>
      <c r="D77" s="51"/>
    </row>
    <row r="78">
      <c r="A78" s="51"/>
      <c r="B78" s="51"/>
      <c r="C78" s="72"/>
      <c r="D78" s="51"/>
    </row>
    <row r="79">
      <c r="A79" s="51"/>
      <c r="B79" s="51"/>
      <c r="C79" s="72"/>
      <c r="D79" s="51"/>
    </row>
    <row r="80">
      <c r="A80" s="51"/>
      <c r="B80" s="51"/>
      <c r="C80" s="72"/>
      <c r="D80" s="51"/>
    </row>
    <row r="81">
      <c r="A81" s="51"/>
      <c r="B81" s="51"/>
      <c r="C81" s="72"/>
      <c r="D81" s="51"/>
    </row>
    <row r="82">
      <c r="A82" s="51"/>
      <c r="B82" s="51"/>
      <c r="C82" s="72"/>
      <c r="D82" s="51"/>
    </row>
    <row r="83">
      <c r="A83" s="51"/>
      <c r="B83" s="51"/>
      <c r="C83" s="72"/>
      <c r="D83" s="51"/>
    </row>
    <row r="84">
      <c r="A84" s="51"/>
      <c r="B84" s="51"/>
      <c r="C84" s="72"/>
      <c r="D84" s="51"/>
    </row>
    <row r="85">
      <c r="A85" s="51"/>
      <c r="B85" s="51"/>
      <c r="C85" s="72"/>
      <c r="D85" s="51"/>
    </row>
    <row r="86">
      <c r="A86" s="51"/>
      <c r="B86" s="51"/>
      <c r="C86" s="72"/>
      <c r="D86" s="51"/>
    </row>
    <row r="87">
      <c r="A87" s="51"/>
      <c r="B87" s="51"/>
      <c r="C87" s="72"/>
      <c r="D87" s="51"/>
    </row>
    <row r="88">
      <c r="A88" s="51"/>
      <c r="B88" s="51"/>
      <c r="C88" s="72"/>
      <c r="D88" s="51"/>
    </row>
    <row r="89">
      <c r="A89" s="51"/>
      <c r="B89" s="51"/>
      <c r="C89" s="72"/>
      <c r="D89" s="51"/>
    </row>
    <row r="90">
      <c r="A90" s="51"/>
      <c r="B90" s="51"/>
      <c r="C90" s="72"/>
      <c r="D90" s="51"/>
    </row>
    <row r="91">
      <c r="A91" s="51"/>
      <c r="B91" s="51"/>
      <c r="C91" s="72"/>
      <c r="D91" s="51"/>
    </row>
    <row r="92">
      <c r="A92" s="51"/>
      <c r="B92" s="51"/>
      <c r="C92" s="72"/>
      <c r="D92" s="51"/>
    </row>
    <row r="93">
      <c r="A93" s="51"/>
      <c r="B93" s="51"/>
      <c r="C93" s="72"/>
      <c r="D93" s="51"/>
    </row>
    <row r="94">
      <c r="A94" s="51"/>
      <c r="B94" s="51"/>
      <c r="C94" s="72"/>
      <c r="D94" s="51"/>
    </row>
    <row r="95">
      <c r="A95" s="51"/>
      <c r="B95" s="51"/>
      <c r="C95" s="72"/>
      <c r="D95" s="51"/>
    </row>
    <row r="96">
      <c r="A96" s="51"/>
      <c r="B96" s="51"/>
      <c r="C96" s="72"/>
      <c r="D96" s="51"/>
    </row>
    <row r="97">
      <c r="A97" s="51"/>
      <c r="B97" s="51"/>
      <c r="C97" s="72"/>
      <c r="D97" s="51"/>
    </row>
    <row r="98">
      <c r="A98" s="51"/>
      <c r="B98" s="51"/>
      <c r="C98" s="72"/>
      <c r="D98" s="51"/>
    </row>
    <row r="99">
      <c r="A99" s="51"/>
      <c r="B99" s="51"/>
      <c r="C99" s="72"/>
      <c r="D99" s="51"/>
    </row>
    <row r="100">
      <c r="A100" s="51"/>
      <c r="B100" s="51"/>
      <c r="C100" s="72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7" t="s">
        <v>5</v>
      </c>
      <c r="C4" s="7" t="s">
        <v>6</v>
      </c>
      <c r="D4" s="7" t="s">
        <v>7</v>
      </c>
      <c r="E4" s="7" t="s">
        <v>8</v>
      </c>
      <c r="F4" s="7" t="s">
        <v>9</v>
      </c>
      <c r="G4" s="7" t="s">
        <v>11</v>
      </c>
      <c r="H4" s="10" t="s">
        <v>12</v>
      </c>
    </row>
    <row r="5">
      <c r="B5" s="14">
        <v>55.8</v>
      </c>
      <c r="C5" s="16">
        <v>0.11</v>
      </c>
      <c r="D5" s="14" t="s">
        <v>17</v>
      </c>
      <c r="E5" s="14" t="s">
        <v>18</v>
      </c>
      <c r="F5" s="19">
        <v>391560.0</v>
      </c>
      <c r="G5" s="21">
        <v>46010.0</v>
      </c>
      <c r="H5" s="20">
        <f t="shared" ref="H5:H9" si="1">IF(OR(ISBLANK(F5), ISBLANK(G5), ISBLANK(C5)), 0, F5 * C5 * (TODAY() - G5) / 365)</f>
        <v>26314.97753</v>
      </c>
    </row>
    <row r="6">
      <c r="B6" s="14">
        <v>30.0</v>
      </c>
      <c r="C6" s="16">
        <v>0.1</v>
      </c>
      <c r="D6" s="14" t="s">
        <v>17</v>
      </c>
      <c r="E6" s="14" t="s">
        <v>30</v>
      </c>
      <c r="F6" s="19">
        <v>229500.0</v>
      </c>
      <c r="G6" s="21">
        <v>45966.0</v>
      </c>
      <c r="H6" s="20">
        <f t="shared" si="1"/>
        <v>16788.08219</v>
      </c>
    </row>
    <row r="7">
      <c r="B7" s="14">
        <v>36.9</v>
      </c>
      <c r="C7" s="16">
        <v>0.105</v>
      </c>
      <c r="D7" s="14" t="s">
        <v>17</v>
      </c>
      <c r="E7" s="14" t="s">
        <v>33</v>
      </c>
      <c r="F7" s="19">
        <v>300000.0</v>
      </c>
      <c r="G7" s="21">
        <v>46169.0</v>
      </c>
      <c r="H7" s="20">
        <f t="shared" si="1"/>
        <v>5523.287671</v>
      </c>
    </row>
    <row r="8">
      <c r="B8" s="14">
        <v>15.0</v>
      </c>
      <c r="C8" s="33"/>
      <c r="D8" s="14" t="s">
        <v>17</v>
      </c>
      <c r="E8" s="14" t="s">
        <v>33</v>
      </c>
      <c r="F8" s="19">
        <v>135000.0</v>
      </c>
      <c r="G8" s="21">
        <v>46178.0</v>
      </c>
      <c r="H8" s="20">
        <f t="shared" si="1"/>
        <v>0</v>
      </c>
    </row>
    <row r="9">
      <c r="B9" s="36"/>
      <c r="C9" s="33"/>
      <c r="D9" s="14" t="s">
        <v>17</v>
      </c>
      <c r="E9" s="14" t="s">
        <v>38</v>
      </c>
      <c r="F9" s="19">
        <v>297698.0</v>
      </c>
      <c r="G9" s="21">
        <v>46035.0</v>
      </c>
      <c r="H9" s="20">
        <f t="shared" si="1"/>
        <v>0</v>
      </c>
    </row>
    <row r="10">
      <c r="B10" s="36"/>
      <c r="C10" s="33"/>
      <c r="D10" s="36"/>
      <c r="E10" s="36"/>
      <c r="F10" s="39"/>
      <c r="G10" s="40"/>
      <c r="H10" s="20" t="str">
        <f t="shared" ref="H10:H96" si="2">IF(OR(ISBLANK(F10), ISBLANK(G10)), "", F10 * (C10/100) * (TODAY() - G10) / 365)</f>
        <v/>
      </c>
    </row>
    <row r="11">
      <c r="B11" s="36"/>
      <c r="C11" s="33"/>
      <c r="D11" s="36"/>
      <c r="E11" s="36"/>
      <c r="F11" s="39"/>
      <c r="G11" s="40"/>
      <c r="H11" s="20" t="str">
        <f t="shared" si="2"/>
        <v/>
      </c>
    </row>
    <row r="12">
      <c r="B12" s="36"/>
      <c r="C12" s="33"/>
      <c r="D12" s="36"/>
      <c r="E12" s="36"/>
      <c r="F12" s="39"/>
      <c r="G12" s="40"/>
      <c r="H12" s="20" t="str">
        <f t="shared" si="2"/>
        <v/>
      </c>
    </row>
    <row r="13">
      <c r="B13" s="36"/>
      <c r="C13" s="33"/>
      <c r="D13" s="36"/>
      <c r="E13" s="36"/>
      <c r="F13" s="39"/>
      <c r="G13" s="40"/>
      <c r="H13" s="20" t="str">
        <f t="shared" si="2"/>
        <v/>
      </c>
    </row>
    <row r="14">
      <c r="B14" s="36"/>
      <c r="C14" s="33"/>
      <c r="D14" s="36"/>
      <c r="E14" s="36"/>
      <c r="F14" s="39"/>
      <c r="G14" s="40"/>
      <c r="H14" s="20" t="str">
        <f t="shared" si="2"/>
        <v/>
      </c>
    </row>
    <row r="15">
      <c r="B15" s="36"/>
      <c r="C15" s="33"/>
      <c r="D15" s="36"/>
      <c r="E15" s="36"/>
      <c r="F15" s="39"/>
      <c r="G15" s="40"/>
      <c r="H15" s="20" t="str">
        <f t="shared" si="2"/>
        <v/>
      </c>
    </row>
    <row r="16">
      <c r="B16" s="36"/>
      <c r="C16" s="33"/>
      <c r="D16" s="36"/>
      <c r="E16" s="36"/>
      <c r="F16" s="39"/>
      <c r="G16" s="40"/>
      <c r="H16" s="20" t="str">
        <f t="shared" si="2"/>
        <v/>
      </c>
    </row>
    <row r="17">
      <c r="B17" s="36"/>
      <c r="C17" s="33"/>
      <c r="D17" s="36"/>
      <c r="E17" s="36"/>
      <c r="F17" s="39"/>
      <c r="G17" s="40"/>
      <c r="H17" s="20" t="str">
        <f t="shared" si="2"/>
        <v/>
      </c>
    </row>
    <row r="18">
      <c r="B18" s="36"/>
      <c r="C18" s="33"/>
      <c r="D18" s="36"/>
      <c r="E18" s="36"/>
      <c r="F18" s="39"/>
      <c r="G18" s="40"/>
      <c r="H18" s="20" t="str">
        <f t="shared" si="2"/>
        <v/>
      </c>
    </row>
    <row r="19">
      <c r="B19" s="36"/>
      <c r="C19" s="33"/>
      <c r="D19" s="36"/>
      <c r="E19" s="36"/>
      <c r="F19" s="39"/>
      <c r="G19" s="40"/>
      <c r="H19" s="20" t="str">
        <f t="shared" si="2"/>
        <v/>
      </c>
    </row>
    <row r="20">
      <c r="B20" s="36"/>
      <c r="C20" s="33"/>
      <c r="D20" s="36"/>
      <c r="E20" s="36"/>
      <c r="F20" s="39"/>
      <c r="G20" s="40"/>
      <c r="H20" s="20" t="str">
        <f t="shared" si="2"/>
        <v/>
      </c>
    </row>
    <row r="21">
      <c r="B21" s="36"/>
      <c r="C21" s="33"/>
      <c r="D21" s="36"/>
      <c r="E21" s="36"/>
      <c r="F21" s="39"/>
      <c r="G21" s="40"/>
      <c r="H21" s="20" t="str">
        <f t="shared" si="2"/>
        <v/>
      </c>
    </row>
    <row r="22">
      <c r="B22" s="36"/>
      <c r="C22" s="33"/>
      <c r="D22" s="36"/>
      <c r="E22" s="36"/>
      <c r="F22" s="39"/>
      <c r="G22" s="40"/>
      <c r="H22" s="20" t="str">
        <f t="shared" si="2"/>
        <v/>
      </c>
    </row>
    <row r="23">
      <c r="B23" s="36"/>
      <c r="C23" s="33"/>
      <c r="D23" s="36"/>
      <c r="E23" s="36"/>
      <c r="F23" s="39"/>
      <c r="G23" s="40"/>
      <c r="H23" s="20" t="str">
        <f t="shared" si="2"/>
        <v/>
      </c>
    </row>
    <row r="24">
      <c r="B24" s="36"/>
      <c r="C24" s="33"/>
      <c r="D24" s="36"/>
      <c r="E24" s="36"/>
      <c r="F24" s="39"/>
      <c r="G24" s="40"/>
      <c r="H24" s="20" t="str">
        <f t="shared" si="2"/>
        <v/>
      </c>
    </row>
    <row r="25">
      <c r="B25" s="36"/>
      <c r="C25" s="33"/>
      <c r="D25" s="36"/>
      <c r="E25" s="36"/>
      <c r="F25" s="39"/>
      <c r="G25" s="40"/>
      <c r="H25" s="20" t="str">
        <f t="shared" si="2"/>
        <v/>
      </c>
    </row>
    <row r="26">
      <c r="B26" s="36"/>
      <c r="C26" s="33"/>
      <c r="D26" s="36"/>
      <c r="E26" s="36"/>
      <c r="F26" s="39"/>
      <c r="G26" s="40"/>
      <c r="H26" s="20" t="str">
        <f t="shared" si="2"/>
        <v/>
      </c>
    </row>
    <row r="27">
      <c r="B27" s="36"/>
      <c r="C27" s="33"/>
      <c r="D27" s="36"/>
      <c r="E27" s="36"/>
      <c r="F27" s="39"/>
      <c r="G27" s="40"/>
      <c r="H27" s="20" t="str">
        <f t="shared" si="2"/>
        <v/>
      </c>
    </row>
    <row r="28">
      <c r="B28" s="36"/>
      <c r="C28" s="33"/>
      <c r="D28" s="36"/>
      <c r="E28" s="36"/>
      <c r="F28" s="39"/>
      <c r="G28" s="40"/>
      <c r="H28" s="20" t="str">
        <f t="shared" si="2"/>
        <v/>
      </c>
    </row>
    <row r="29">
      <c r="B29" s="36"/>
      <c r="C29" s="33"/>
      <c r="D29" s="36"/>
      <c r="E29" s="36"/>
      <c r="F29" s="39"/>
      <c r="G29" s="40"/>
      <c r="H29" s="20" t="str">
        <f t="shared" si="2"/>
        <v/>
      </c>
    </row>
    <row r="30">
      <c r="B30" s="36"/>
      <c r="C30" s="33"/>
      <c r="D30" s="36"/>
      <c r="E30" s="36"/>
      <c r="F30" s="39"/>
      <c r="G30" s="40"/>
      <c r="H30" s="20" t="str">
        <f t="shared" si="2"/>
        <v/>
      </c>
    </row>
    <row r="31">
      <c r="B31" s="36"/>
      <c r="C31" s="33"/>
      <c r="D31" s="36"/>
      <c r="E31" s="36"/>
      <c r="F31" s="39"/>
      <c r="G31" s="40"/>
      <c r="H31" s="20" t="str">
        <f t="shared" si="2"/>
        <v/>
      </c>
    </row>
    <row r="32">
      <c r="B32" s="36"/>
      <c r="C32" s="33"/>
      <c r="D32" s="36"/>
      <c r="E32" s="36"/>
      <c r="F32" s="39"/>
      <c r="G32" s="40"/>
      <c r="H32" s="20" t="str">
        <f t="shared" si="2"/>
        <v/>
      </c>
    </row>
    <row r="33">
      <c r="B33" s="36"/>
      <c r="C33" s="33"/>
      <c r="D33" s="36"/>
      <c r="E33" s="36"/>
      <c r="F33" s="39"/>
      <c r="G33" s="40"/>
      <c r="H33" s="20" t="str">
        <f t="shared" si="2"/>
        <v/>
      </c>
    </row>
    <row r="34">
      <c r="B34" s="36"/>
      <c r="C34" s="33"/>
      <c r="D34" s="36"/>
      <c r="E34" s="36"/>
      <c r="F34" s="39"/>
      <c r="G34" s="40"/>
      <c r="H34" s="20" t="str">
        <f t="shared" si="2"/>
        <v/>
      </c>
    </row>
    <row r="35">
      <c r="B35" s="36"/>
      <c r="C35" s="33"/>
      <c r="D35" s="36"/>
      <c r="E35" s="36"/>
      <c r="F35" s="39"/>
      <c r="G35" s="40"/>
      <c r="H35" s="20" t="str">
        <f t="shared" si="2"/>
        <v/>
      </c>
    </row>
    <row r="36">
      <c r="B36" s="36"/>
      <c r="C36" s="33"/>
      <c r="D36" s="36"/>
      <c r="E36" s="36"/>
      <c r="F36" s="39"/>
      <c r="G36" s="40"/>
      <c r="H36" s="20" t="str">
        <f t="shared" si="2"/>
        <v/>
      </c>
    </row>
    <row r="37">
      <c r="B37" s="36"/>
      <c r="C37" s="33"/>
      <c r="D37" s="36"/>
      <c r="E37" s="36"/>
      <c r="F37" s="39"/>
      <c r="G37" s="40"/>
      <c r="H37" s="20" t="str">
        <f t="shared" si="2"/>
        <v/>
      </c>
    </row>
    <row r="38">
      <c r="B38" s="36"/>
      <c r="C38" s="33"/>
      <c r="D38" s="36"/>
      <c r="E38" s="36"/>
      <c r="F38" s="39"/>
      <c r="G38" s="40"/>
      <c r="H38" s="20" t="str">
        <f t="shared" si="2"/>
        <v/>
      </c>
    </row>
    <row r="39">
      <c r="B39" s="36"/>
      <c r="C39" s="33"/>
      <c r="D39" s="36"/>
      <c r="E39" s="36"/>
      <c r="F39" s="39"/>
      <c r="G39" s="40"/>
      <c r="H39" s="20" t="str">
        <f t="shared" si="2"/>
        <v/>
      </c>
    </row>
    <row r="40">
      <c r="B40" s="36"/>
      <c r="C40" s="33"/>
      <c r="D40" s="36"/>
      <c r="E40" s="36"/>
      <c r="F40" s="39"/>
      <c r="G40" s="40"/>
      <c r="H40" s="20" t="str">
        <f t="shared" si="2"/>
        <v/>
      </c>
    </row>
    <row r="41">
      <c r="B41" s="36"/>
      <c r="C41" s="33"/>
      <c r="D41" s="36"/>
      <c r="E41" s="36"/>
      <c r="F41" s="39"/>
      <c r="G41" s="40"/>
      <c r="H41" s="20" t="str">
        <f t="shared" si="2"/>
        <v/>
      </c>
    </row>
    <row r="42">
      <c r="B42" s="36"/>
      <c r="C42" s="33"/>
      <c r="D42" s="36"/>
      <c r="E42" s="36"/>
      <c r="F42" s="39"/>
      <c r="G42" s="40"/>
      <c r="H42" s="20" t="str">
        <f t="shared" si="2"/>
        <v/>
      </c>
    </row>
    <row r="43">
      <c r="B43" s="36"/>
      <c r="C43" s="33"/>
      <c r="D43" s="36"/>
      <c r="E43" s="36"/>
      <c r="F43" s="39"/>
      <c r="G43" s="40"/>
      <c r="H43" s="20" t="str">
        <f t="shared" si="2"/>
        <v/>
      </c>
    </row>
    <row r="44">
      <c r="B44" s="36"/>
      <c r="C44" s="33"/>
      <c r="D44" s="36"/>
      <c r="E44" s="36"/>
      <c r="F44" s="39"/>
      <c r="G44" s="40"/>
      <c r="H44" s="20" t="str">
        <f t="shared" si="2"/>
        <v/>
      </c>
    </row>
    <row r="45">
      <c r="B45" s="36"/>
      <c r="C45" s="33"/>
      <c r="D45" s="36"/>
      <c r="E45" s="36"/>
      <c r="F45" s="39"/>
      <c r="G45" s="40"/>
      <c r="H45" s="20" t="str">
        <f t="shared" si="2"/>
        <v/>
      </c>
    </row>
    <row r="46">
      <c r="B46" s="36"/>
      <c r="C46" s="33"/>
      <c r="D46" s="36"/>
      <c r="E46" s="36"/>
      <c r="F46" s="39"/>
      <c r="G46" s="40"/>
      <c r="H46" s="20" t="str">
        <f t="shared" si="2"/>
        <v/>
      </c>
    </row>
    <row r="47">
      <c r="B47" s="36"/>
      <c r="C47" s="33"/>
      <c r="D47" s="36"/>
      <c r="E47" s="36"/>
      <c r="F47" s="39"/>
      <c r="G47" s="40"/>
      <c r="H47" s="20" t="str">
        <f t="shared" si="2"/>
        <v/>
      </c>
    </row>
    <row r="48">
      <c r="B48" s="36"/>
      <c r="C48" s="33"/>
      <c r="D48" s="36"/>
      <c r="E48" s="36"/>
      <c r="F48" s="39"/>
      <c r="G48" s="40"/>
      <c r="H48" s="20" t="str">
        <f t="shared" si="2"/>
        <v/>
      </c>
    </row>
    <row r="49">
      <c r="B49" s="36"/>
      <c r="C49" s="33"/>
      <c r="D49" s="36"/>
      <c r="E49" s="36"/>
      <c r="F49" s="39"/>
      <c r="G49" s="40"/>
      <c r="H49" s="20" t="str">
        <f t="shared" si="2"/>
        <v/>
      </c>
    </row>
    <row r="50">
      <c r="B50" s="36"/>
      <c r="C50" s="33"/>
      <c r="D50" s="36"/>
      <c r="E50" s="36"/>
      <c r="F50" s="39"/>
      <c r="G50" s="40"/>
      <c r="H50" s="20" t="str">
        <f t="shared" si="2"/>
        <v/>
      </c>
    </row>
    <row r="51">
      <c r="B51" s="36"/>
      <c r="C51" s="33"/>
      <c r="D51" s="36"/>
      <c r="E51" s="36"/>
      <c r="F51" s="39"/>
      <c r="G51" s="40"/>
      <c r="H51" s="20" t="str">
        <f t="shared" si="2"/>
        <v/>
      </c>
    </row>
    <row r="52">
      <c r="B52" s="36"/>
      <c r="C52" s="33"/>
      <c r="D52" s="36"/>
      <c r="E52" s="36"/>
      <c r="F52" s="39"/>
      <c r="G52" s="40"/>
      <c r="H52" s="20" t="str">
        <f t="shared" si="2"/>
        <v/>
      </c>
    </row>
    <row r="53">
      <c r="B53" s="36"/>
      <c r="C53" s="33"/>
      <c r="D53" s="36"/>
      <c r="E53" s="36"/>
      <c r="F53" s="39"/>
      <c r="G53" s="40"/>
      <c r="H53" s="20" t="str">
        <f t="shared" si="2"/>
        <v/>
      </c>
    </row>
    <row r="54">
      <c r="B54" s="36"/>
      <c r="C54" s="33"/>
      <c r="D54" s="36"/>
      <c r="E54" s="36"/>
      <c r="F54" s="39"/>
      <c r="G54" s="40"/>
      <c r="H54" s="20" t="str">
        <f t="shared" si="2"/>
        <v/>
      </c>
    </row>
    <row r="55">
      <c r="B55" s="36"/>
      <c r="C55" s="33"/>
      <c r="D55" s="36"/>
      <c r="E55" s="36"/>
      <c r="F55" s="39"/>
      <c r="G55" s="40"/>
      <c r="H55" s="20" t="str">
        <f t="shared" si="2"/>
        <v/>
      </c>
    </row>
    <row r="56">
      <c r="B56" s="36"/>
      <c r="C56" s="33"/>
      <c r="D56" s="36"/>
      <c r="E56" s="36"/>
      <c r="F56" s="39"/>
      <c r="G56" s="40"/>
      <c r="H56" s="20" t="str">
        <f t="shared" si="2"/>
        <v/>
      </c>
    </row>
    <row r="57">
      <c r="B57" s="36"/>
      <c r="C57" s="33"/>
      <c r="D57" s="36"/>
      <c r="E57" s="36"/>
      <c r="F57" s="39"/>
      <c r="G57" s="40"/>
      <c r="H57" s="20" t="str">
        <f t="shared" si="2"/>
        <v/>
      </c>
    </row>
    <row r="58">
      <c r="B58" s="36"/>
      <c r="C58" s="33"/>
      <c r="D58" s="36"/>
      <c r="E58" s="36"/>
      <c r="F58" s="39"/>
      <c r="G58" s="40"/>
      <c r="H58" s="20" t="str">
        <f t="shared" si="2"/>
        <v/>
      </c>
    </row>
    <row r="59">
      <c r="B59" s="36"/>
      <c r="C59" s="33"/>
      <c r="D59" s="36"/>
      <c r="E59" s="36"/>
      <c r="F59" s="39"/>
      <c r="G59" s="40"/>
      <c r="H59" s="20" t="str">
        <f t="shared" si="2"/>
        <v/>
      </c>
    </row>
    <row r="60">
      <c r="B60" s="36"/>
      <c r="C60" s="33"/>
      <c r="D60" s="36"/>
      <c r="E60" s="36"/>
      <c r="F60" s="39"/>
      <c r="G60" s="40"/>
      <c r="H60" s="20" t="str">
        <f t="shared" si="2"/>
        <v/>
      </c>
    </row>
    <row r="61">
      <c r="B61" s="36"/>
      <c r="C61" s="33"/>
      <c r="D61" s="36"/>
      <c r="E61" s="36"/>
      <c r="F61" s="39"/>
      <c r="G61" s="40"/>
      <c r="H61" s="20" t="str">
        <f t="shared" si="2"/>
        <v/>
      </c>
    </row>
    <row r="62">
      <c r="B62" s="36"/>
      <c r="C62" s="33"/>
      <c r="D62" s="36"/>
      <c r="E62" s="36"/>
      <c r="F62" s="39"/>
      <c r="G62" s="40"/>
      <c r="H62" s="20" t="str">
        <f t="shared" si="2"/>
        <v/>
      </c>
    </row>
    <row r="63">
      <c r="B63" s="36"/>
      <c r="C63" s="33"/>
      <c r="D63" s="36"/>
      <c r="E63" s="36"/>
      <c r="F63" s="39"/>
      <c r="G63" s="40"/>
      <c r="H63" s="20" t="str">
        <f t="shared" si="2"/>
        <v/>
      </c>
    </row>
    <row r="64">
      <c r="B64" s="36"/>
      <c r="C64" s="33"/>
      <c r="D64" s="36"/>
      <c r="E64" s="36"/>
      <c r="F64" s="39"/>
      <c r="G64" s="40"/>
      <c r="H64" s="20" t="str">
        <f t="shared" si="2"/>
        <v/>
      </c>
    </row>
    <row r="65">
      <c r="B65" s="36"/>
      <c r="C65" s="33"/>
      <c r="D65" s="36"/>
      <c r="E65" s="36"/>
      <c r="F65" s="39"/>
      <c r="G65" s="40"/>
      <c r="H65" s="20" t="str">
        <f t="shared" si="2"/>
        <v/>
      </c>
    </row>
    <row r="66">
      <c r="B66" s="36"/>
      <c r="C66" s="33"/>
      <c r="D66" s="36"/>
      <c r="E66" s="36"/>
      <c r="F66" s="39"/>
      <c r="G66" s="40"/>
      <c r="H66" s="20" t="str">
        <f t="shared" si="2"/>
        <v/>
      </c>
    </row>
    <row r="67">
      <c r="B67" s="36"/>
      <c r="C67" s="33"/>
      <c r="D67" s="36"/>
      <c r="E67" s="36"/>
      <c r="F67" s="39"/>
      <c r="G67" s="40"/>
      <c r="H67" s="20" t="str">
        <f t="shared" si="2"/>
        <v/>
      </c>
    </row>
    <row r="68">
      <c r="B68" s="36"/>
      <c r="C68" s="33"/>
      <c r="D68" s="36"/>
      <c r="E68" s="36"/>
      <c r="F68" s="39"/>
      <c r="G68" s="40"/>
      <c r="H68" s="20" t="str">
        <f t="shared" si="2"/>
        <v/>
      </c>
    </row>
    <row r="69">
      <c r="B69" s="36"/>
      <c r="C69" s="33"/>
      <c r="D69" s="36"/>
      <c r="E69" s="36"/>
      <c r="F69" s="39"/>
      <c r="G69" s="40"/>
      <c r="H69" s="20" t="str">
        <f t="shared" si="2"/>
        <v/>
      </c>
    </row>
    <row r="70">
      <c r="B70" s="36"/>
      <c r="C70" s="33"/>
      <c r="D70" s="36"/>
      <c r="E70" s="36"/>
      <c r="F70" s="39"/>
      <c r="G70" s="40"/>
      <c r="H70" s="20" t="str">
        <f t="shared" si="2"/>
        <v/>
      </c>
    </row>
    <row r="71">
      <c r="B71" s="36"/>
      <c r="C71" s="33"/>
      <c r="D71" s="36"/>
      <c r="E71" s="36"/>
      <c r="F71" s="39"/>
      <c r="G71" s="40"/>
      <c r="H71" s="20" t="str">
        <f t="shared" si="2"/>
        <v/>
      </c>
    </row>
    <row r="72">
      <c r="B72" s="36"/>
      <c r="C72" s="33"/>
      <c r="D72" s="36"/>
      <c r="E72" s="36"/>
      <c r="F72" s="39"/>
      <c r="G72" s="40"/>
      <c r="H72" s="20" t="str">
        <f t="shared" si="2"/>
        <v/>
      </c>
    </row>
    <row r="73">
      <c r="B73" s="36"/>
      <c r="C73" s="33"/>
      <c r="D73" s="36"/>
      <c r="E73" s="36"/>
      <c r="F73" s="39"/>
      <c r="G73" s="40"/>
      <c r="H73" s="20" t="str">
        <f t="shared" si="2"/>
        <v/>
      </c>
    </row>
    <row r="74">
      <c r="B74" s="36"/>
      <c r="C74" s="33"/>
      <c r="D74" s="36"/>
      <c r="E74" s="36"/>
      <c r="F74" s="39"/>
      <c r="G74" s="40"/>
      <c r="H74" s="20" t="str">
        <f t="shared" si="2"/>
        <v/>
      </c>
    </row>
    <row r="75">
      <c r="B75" s="36"/>
      <c r="C75" s="33"/>
      <c r="D75" s="36"/>
      <c r="E75" s="36"/>
      <c r="F75" s="39"/>
      <c r="G75" s="40"/>
      <c r="H75" s="20" t="str">
        <f t="shared" si="2"/>
        <v/>
      </c>
    </row>
    <row r="76">
      <c r="B76" s="36"/>
      <c r="C76" s="33"/>
      <c r="D76" s="36"/>
      <c r="E76" s="36"/>
      <c r="F76" s="39"/>
      <c r="G76" s="40"/>
      <c r="H76" s="20" t="str">
        <f t="shared" si="2"/>
        <v/>
      </c>
    </row>
    <row r="77">
      <c r="B77" s="36"/>
      <c r="C77" s="33"/>
      <c r="D77" s="36"/>
      <c r="E77" s="36"/>
      <c r="F77" s="39"/>
      <c r="G77" s="40"/>
      <c r="H77" s="20" t="str">
        <f t="shared" si="2"/>
        <v/>
      </c>
    </row>
    <row r="78">
      <c r="B78" s="36"/>
      <c r="C78" s="33"/>
      <c r="D78" s="36"/>
      <c r="E78" s="36"/>
      <c r="F78" s="39"/>
      <c r="G78" s="40"/>
      <c r="H78" s="20" t="str">
        <f t="shared" si="2"/>
        <v/>
      </c>
    </row>
    <row r="79">
      <c r="B79" s="36"/>
      <c r="C79" s="33"/>
      <c r="D79" s="36"/>
      <c r="E79" s="36"/>
      <c r="F79" s="39"/>
      <c r="G79" s="40"/>
      <c r="H79" s="20" t="str">
        <f t="shared" si="2"/>
        <v/>
      </c>
    </row>
    <row r="80">
      <c r="B80" s="36"/>
      <c r="C80" s="33"/>
      <c r="D80" s="36"/>
      <c r="E80" s="36"/>
      <c r="F80" s="39"/>
      <c r="G80" s="40"/>
      <c r="H80" s="20" t="str">
        <f t="shared" si="2"/>
        <v/>
      </c>
    </row>
    <row r="81">
      <c r="B81" s="36"/>
      <c r="C81" s="33"/>
      <c r="D81" s="36"/>
      <c r="E81" s="36"/>
      <c r="F81" s="39"/>
      <c r="G81" s="40"/>
      <c r="H81" s="20" t="str">
        <f t="shared" si="2"/>
        <v/>
      </c>
    </row>
    <row r="82">
      <c r="B82" s="36"/>
      <c r="C82" s="33"/>
      <c r="D82" s="36"/>
      <c r="E82" s="36"/>
      <c r="F82" s="39"/>
      <c r="G82" s="40"/>
      <c r="H82" s="20" t="str">
        <f t="shared" si="2"/>
        <v/>
      </c>
    </row>
    <row r="83">
      <c r="B83" s="36"/>
      <c r="C83" s="33"/>
      <c r="D83" s="36"/>
      <c r="E83" s="36"/>
      <c r="F83" s="39"/>
      <c r="G83" s="40"/>
      <c r="H83" s="20" t="str">
        <f t="shared" si="2"/>
        <v/>
      </c>
    </row>
    <row r="84">
      <c r="B84" s="36"/>
      <c r="C84" s="33"/>
      <c r="D84" s="36"/>
      <c r="E84" s="36"/>
      <c r="F84" s="39"/>
      <c r="G84" s="40"/>
      <c r="H84" s="20" t="str">
        <f t="shared" si="2"/>
        <v/>
      </c>
    </row>
    <row r="85">
      <c r="B85" s="36"/>
      <c r="C85" s="33"/>
      <c r="D85" s="36"/>
      <c r="E85" s="36"/>
      <c r="F85" s="39"/>
      <c r="G85" s="40"/>
      <c r="H85" s="20" t="str">
        <f t="shared" si="2"/>
        <v/>
      </c>
    </row>
    <row r="86">
      <c r="B86" s="36"/>
      <c r="C86" s="33"/>
      <c r="D86" s="36"/>
      <c r="E86" s="36"/>
      <c r="F86" s="39"/>
      <c r="G86" s="40"/>
      <c r="H86" s="20" t="str">
        <f t="shared" si="2"/>
        <v/>
      </c>
    </row>
    <row r="87">
      <c r="B87" s="36"/>
      <c r="C87" s="33"/>
      <c r="D87" s="36"/>
      <c r="E87" s="36"/>
      <c r="F87" s="39"/>
      <c r="G87" s="40"/>
      <c r="H87" s="20" t="str">
        <f t="shared" si="2"/>
        <v/>
      </c>
    </row>
    <row r="88">
      <c r="B88" s="36"/>
      <c r="C88" s="33"/>
      <c r="D88" s="36"/>
      <c r="E88" s="36"/>
      <c r="F88" s="39"/>
      <c r="G88" s="40"/>
      <c r="H88" s="20" t="str">
        <f t="shared" si="2"/>
        <v/>
      </c>
    </row>
    <row r="89">
      <c r="B89" s="36"/>
      <c r="C89" s="33"/>
      <c r="D89" s="36"/>
      <c r="E89" s="36"/>
      <c r="F89" s="39"/>
      <c r="G89" s="40"/>
      <c r="H89" s="20" t="str">
        <f t="shared" si="2"/>
        <v/>
      </c>
    </row>
    <row r="90">
      <c r="B90" s="36"/>
      <c r="C90" s="33"/>
      <c r="D90" s="36"/>
      <c r="E90" s="36"/>
      <c r="F90" s="39"/>
      <c r="G90" s="40"/>
      <c r="H90" s="20" t="str">
        <f t="shared" si="2"/>
        <v/>
      </c>
    </row>
    <row r="91">
      <c r="B91" s="36"/>
      <c r="C91" s="33"/>
      <c r="D91" s="36"/>
      <c r="E91" s="36"/>
      <c r="F91" s="39"/>
      <c r="G91" s="40"/>
      <c r="H91" s="20" t="str">
        <f t="shared" si="2"/>
        <v/>
      </c>
    </row>
    <row r="92">
      <c r="B92" s="36"/>
      <c r="C92" s="33"/>
      <c r="D92" s="36"/>
      <c r="E92" s="36"/>
      <c r="F92" s="39"/>
      <c r="G92" s="40"/>
      <c r="H92" s="20" t="str">
        <f t="shared" si="2"/>
        <v/>
      </c>
    </row>
    <row r="93">
      <c r="B93" s="36"/>
      <c r="C93" s="33"/>
      <c r="D93" s="36"/>
      <c r="E93" s="36"/>
      <c r="F93" s="39"/>
      <c r="G93" s="40"/>
      <c r="H93" s="20" t="str">
        <f t="shared" si="2"/>
        <v/>
      </c>
    </row>
    <row r="94">
      <c r="B94" s="36"/>
      <c r="C94" s="33"/>
      <c r="D94" s="36"/>
      <c r="E94" s="36"/>
      <c r="F94" s="39"/>
      <c r="G94" s="40"/>
      <c r="H94" s="20" t="str">
        <f t="shared" si="2"/>
        <v/>
      </c>
    </row>
    <row r="95">
      <c r="B95" s="36"/>
      <c r="C95" s="33"/>
      <c r="D95" s="36"/>
      <c r="E95" s="36"/>
      <c r="F95" s="39"/>
      <c r="G95" s="40"/>
      <c r="H95" s="20" t="str">
        <f t="shared" si="2"/>
        <v/>
      </c>
    </row>
    <row r="96">
      <c r="B96" s="36"/>
      <c r="C96" s="33"/>
      <c r="D96" s="36"/>
      <c r="E96" s="36"/>
      <c r="F96" s="39"/>
      <c r="G96" s="40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143</v>
      </c>
      <c r="C1" s="17"/>
      <c r="D1" s="22"/>
    </row>
    <row r="2" ht="15.75" customHeight="1">
      <c r="B2" s="107" t="s">
        <v>145</v>
      </c>
      <c r="C2" s="17"/>
      <c r="D2" s="22"/>
    </row>
    <row r="3" ht="7.5" customHeight="1"/>
    <row r="4" ht="66.75" customHeight="1">
      <c r="B4" s="112" t="s">
        <v>151</v>
      </c>
      <c r="C4" s="115" t="s">
        <v>155</v>
      </c>
      <c r="D4" s="118" t="s">
        <v>163</v>
      </c>
    </row>
    <row r="5" ht="48.75" customHeight="1">
      <c r="B5" s="112" t="s">
        <v>170</v>
      </c>
      <c r="C5" s="115" t="s">
        <v>171</v>
      </c>
      <c r="D5" s="118" t="s">
        <v>174</v>
      </c>
    </row>
    <row r="6" ht="54.75" customHeight="1">
      <c r="B6" s="112" t="s">
        <v>176</v>
      </c>
      <c r="C6" s="115" t="s">
        <v>179</v>
      </c>
      <c r="D6" s="118" t="s">
        <v>180</v>
      </c>
    </row>
    <row r="7" ht="31.5" customHeight="1">
      <c r="B7" s="112" t="s">
        <v>183</v>
      </c>
      <c r="C7" s="115" t="s">
        <v>184</v>
      </c>
      <c r="D7" s="118" t="s">
        <v>186</v>
      </c>
    </row>
    <row r="8" ht="75.75" customHeight="1">
      <c r="B8" s="119" t="s">
        <v>188</v>
      </c>
      <c r="C8" s="120" t="s">
        <v>191</v>
      </c>
      <c r="D8" s="118" t="s">
        <v>193</v>
      </c>
    </row>
    <row r="9" ht="42.0" customHeight="1">
      <c r="B9" s="119" t="s">
        <v>196</v>
      </c>
      <c r="C9" s="120" t="s">
        <v>197</v>
      </c>
      <c r="D9" s="118" t="s">
        <v>198</v>
      </c>
    </row>
    <row r="10" ht="64.5" customHeight="1">
      <c r="B10" s="121" t="s">
        <v>201</v>
      </c>
      <c r="C10" s="122" t="s">
        <v>203</v>
      </c>
      <c r="D10" s="118" t="s">
        <v>204</v>
      </c>
    </row>
    <row r="11" ht="60.0" customHeight="1">
      <c r="B11" s="121" t="s">
        <v>208</v>
      </c>
      <c r="C11" s="122" t="s">
        <v>210</v>
      </c>
      <c r="D11" s="118" t="s">
        <v>212</v>
      </c>
    </row>
    <row r="12" ht="82.5" customHeight="1">
      <c r="B12" s="123" t="s">
        <v>215</v>
      </c>
      <c r="C12" s="124" t="s">
        <v>218</v>
      </c>
      <c r="D12" s="118" t="s">
        <v>220</v>
      </c>
    </row>
    <row r="13" ht="67.5" customHeight="1">
      <c r="B13" s="123" t="s">
        <v>225</v>
      </c>
      <c r="C13" s="124" t="s">
        <v>226</v>
      </c>
      <c r="D13" s="118" t="s">
        <v>228</v>
      </c>
    </row>
    <row r="14" ht="81.75" customHeight="1">
      <c r="B14" s="126" t="s">
        <v>230</v>
      </c>
      <c r="C14" s="127" t="s">
        <v>231</v>
      </c>
      <c r="D14" s="118" t="s">
        <v>232</v>
      </c>
    </row>
    <row r="15" ht="72.0" customHeight="1">
      <c r="B15" s="128" t="s">
        <v>233</v>
      </c>
      <c r="C15" s="129" t="s">
        <v>236</v>
      </c>
      <c r="D15" s="118" t="s">
        <v>238</v>
      </c>
    </row>
    <row r="16" ht="61.5" customHeight="1">
      <c r="B16" s="121" t="s">
        <v>242</v>
      </c>
      <c r="C16" s="122" t="s">
        <v>243</v>
      </c>
      <c r="D16" s="118" t="s">
        <v>244</v>
      </c>
    </row>
    <row r="17" ht="67.5" customHeight="1">
      <c r="B17" s="128" t="s">
        <v>245</v>
      </c>
      <c r="C17" s="129" t="s">
        <v>246</v>
      </c>
      <c r="D17" s="118" t="s">
        <v>247</v>
      </c>
    </row>
    <row r="18" ht="66.75" customHeight="1">
      <c r="B18" s="123" t="s">
        <v>248</v>
      </c>
      <c r="C18" s="124" t="s">
        <v>250</v>
      </c>
      <c r="D18" s="118" t="s">
        <v>251</v>
      </c>
    </row>
    <row r="20" ht="19.5" customHeight="1">
      <c r="B20" s="131" t="s">
        <v>253</v>
      </c>
      <c r="C20" s="17"/>
      <c r="D20" s="22"/>
    </row>
    <row r="21" ht="18.0" customHeight="1">
      <c r="B21" s="133" t="s">
        <v>16</v>
      </c>
      <c r="C21" s="133" t="s">
        <v>255</v>
      </c>
      <c r="D21" s="133" t="s">
        <v>256</v>
      </c>
    </row>
    <row r="22" ht="16.5" customHeight="1">
      <c r="B22" s="134" t="s">
        <v>107</v>
      </c>
      <c r="C22" s="135" t="s">
        <v>259</v>
      </c>
      <c r="D22" s="136" t="s">
        <v>260</v>
      </c>
    </row>
    <row r="23" ht="16.5" customHeight="1">
      <c r="B23" s="134" t="s">
        <v>73</v>
      </c>
      <c r="C23" s="135" t="s">
        <v>262</v>
      </c>
      <c r="D23" s="136" t="s">
        <v>263</v>
      </c>
    </row>
    <row r="24" ht="16.5" customHeight="1">
      <c r="B24" s="138" t="s">
        <v>140</v>
      </c>
      <c r="C24" s="139" t="s">
        <v>266</v>
      </c>
      <c r="D24" s="136" t="s">
        <v>267</v>
      </c>
    </row>
    <row r="25" ht="16.5" customHeight="1">
      <c r="B25" s="134" t="s">
        <v>213</v>
      </c>
      <c r="C25" s="135" t="s">
        <v>269</v>
      </c>
      <c r="D25" s="136" t="s">
        <v>270</v>
      </c>
    </row>
    <row r="26" ht="16.5" customHeight="1">
      <c r="B26" s="141" t="s">
        <v>99</v>
      </c>
      <c r="C26" s="143" t="s">
        <v>271</v>
      </c>
      <c r="D26" s="136" t="s">
        <v>273</v>
      </c>
    </row>
    <row r="27" ht="16.5" customHeight="1">
      <c r="B27" s="144" t="s">
        <v>276</v>
      </c>
      <c r="C27" s="145" t="s">
        <v>278</v>
      </c>
      <c r="D27" s="136" t="s">
        <v>280</v>
      </c>
    </row>
    <row r="28" ht="16.5" customHeight="1">
      <c r="B28" s="134" t="s">
        <v>119</v>
      </c>
      <c r="C28" s="135" t="s">
        <v>281</v>
      </c>
      <c r="D28" s="136" t="s">
        <v>282</v>
      </c>
    </row>
    <row r="29" ht="16.5" customHeight="1">
      <c r="B29" s="134" t="s">
        <v>118</v>
      </c>
      <c r="C29" s="135" t="s">
        <v>283</v>
      </c>
      <c r="D29" s="136" t="s">
        <v>284</v>
      </c>
    </row>
    <row r="30" ht="16.5" customHeight="1">
      <c r="B30" s="141" t="s">
        <v>42</v>
      </c>
      <c r="C30" s="143" t="s">
        <v>285</v>
      </c>
      <c r="D30" s="136" t="s">
        <v>286</v>
      </c>
    </row>
    <row r="31" ht="16.5" customHeight="1">
      <c r="B31" s="141" t="s">
        <v>114</v>
      </c>
      <c r="C31" s="143" t="s">
        <v>287</v>
      </c>
      <c r="D31" s="136" t="s">
        <v>288</v>
      </c>
    </row>
    <row r="32" ht="16.5" customHeight="1">
      <c r="B32" s="149" t="s">
        <v>292</v>
      </c>
      <c r="C32" s="150" t="s">
        <v>298</v>
      </c>
      <c r="D32" s="136" t="s">
        <v>300</v>
      </c>
    </row>
    <row r="33" ht="16.5" customHeight="1">
      <c r="B33" s="134" t="s">
        <v>58</v>
      </c>
      <c r="C33" s="135" t="s">
        <v>301</v>
      </c>
      <c r="D33" s="136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142</v>
      </c>
      <c r="B1" s="106" t="s">
        <v>147</v>
      </c>
      <c r="C1" s="106" t="s">
        <v>20</v>
      </c>
      <c r="D1" s="106"/>
      <c r="E1" s="106"/>
    </row>
    <row r="2">
      <c r="A2" s="109">
        <v>46165.0</v>
      </c>
      <c r="B2" s="106" t="s">
        <v>149</v>
      </c>
      <c r="C2" s="111">
        <v>10000.0</v>
      </c>
      <c r="D2" s="106"/>
      <c r="E2" s="106"/>
    </row>
    <row r="3">
      <c r="A3" s="109">
        <v>46166.0</v>
      </c>
      <c r="B3" s="106" t="s">
        <v>154</v>
      </c>
      <c r="C3" s="111">
        <v>19000.0</v>
      </c>
      <c r="D3" s="106"/>
      <c r="E3" s="106"/>
    </row>
    <row r="4">
      <c r="A4" s="109">
        <v>46168.0</v>
      </c>
      <c r="B4" s="106" t="s">
        <v>156</v>
      </c>
      <c r="C4" s="116">
        <v>2500.0</v>
      </c>
      <c r="D4" s="106"/>
      <c r="E4" s="106"/>
    </row>
    <row r="5">
      <c r="A5" s="109">
        <v>46169.0</v>
      </c>
      <c r="B5" s="106" t="s">
        <v>172</v>
      </c>
      <c r="C5" s="111">
        <v>29050.0</v>
      </c>
      <c r="D5" s="106"/>
      <c r="E5" s="106"/>
    </row>
    <row r="6">
      <c r="A6" s="109">
        <v>46169.0</v>
      </c>
      <c r="B6" s="106" t="s">
        <v>181</v>
      </c>
      <c r="C6" s="116">
        <v>100.0</v>
      </c>
      <c r="D6" s="106"/>
      <c r="E6" s="106"/>
    </row>
    <row r="7">
      <c r="A7" s="109">
        <v>46169.0</v>
      </c>
      <c r="B7" s="106" t="s">
        <v>189</v>
      </c>
      <c r="C7" s="116">
        <v>300.0</v>
      </c>
      <c r="D7" s="106"/>
      <c r="E7" s="106"/>
    </row>
    <row r="8">
      <c r="A8" s="109">
        <v>46169.0</v>
      </c>
      <c r="B8" s="106" t="s">
        <v>194</v>
      </c>
      <c r="C8" s="116">
        <v>370.0</v>
      </c>
      <c r="D8" s="106"/>
      <c r="E8" s="106"/>
    </row>
    <row r="9">
      <c r="A9" s="109">
        <v>46169.0</v>
      </c>
      <c r="B9" s="106" t="s">
        <v>100</v>
      </c>
      <c r="C9" s="116">
        <v>2494.0</v>
      </c>
      <c r="D9" s="106"/>
      <c r="E9" s="106"/>
    </row>
    <row r="10">
      <c r="A10" s="109">
        <v>46169.0</v>
      </c>
      <c r="B10" s="106" t="s">
        <v>205</v>
      </c>
      <c r="C10" s="116">
        <v>5000.0</v>
      </c>
      <c r="D10" s="106"/>
      <c r="E10" s="106"/>
    </row>
    <row r="11">
      <c r="A11" s="109">
        <v>46169.0</v>
      </c>
      <c r="B11" s="106" t="s">
        <v>214</v>
      </c>
      <c r="C11" s="111">
        <v>29000.0</v>
      </c>
      <c r="D11" s="106" t="s">
        <v>217</v>
      </c>
      <c r="E11" s="116">
        <v>24000.0</v>
      </c>
    </row>
    <row r="12">
      <c r="A12" s="109">
        <v>46169.0</v>
      </c>
      <c r="B12" s="106" t="s">
        <v>222</v>
      </c>
      <c r="C12" s="116">
        <v>400.0</v>
      </c>
      <c r="D12" s="106" t="s">
        <v>224</v>
      </c>
      <c r="E12" s="111">
        <v>53000.0</v>
      </c>
    </row>
    <row r="13">
      <c r="A13" s="109">
        <v>46169.0</v>
      </c>
      <c r="B13" s="106" t="s">
        <v>229</v>
      </c>
      <c r="C13" s="116">
        <v>600.0</v>
      </c>
      <c r="D13" s="106"/>
      <c r="E13" s="106"/>
    </row>
    <row r="14">
      <c r="A14" s="109">
        <v>46170.0</v>
      </c>
      <c r="B14" s="106"/>
      <c r="C14" s="106"/>
      <c r="D14" s="106"/>
      <c r="E14" s="106"/>
    </row>
    <row r="22">
      <c r="A22" s="106" t="s">
        <v>234</v>
      </c>
      <c r="B22" s="106" t="s">
        <v>142</v>
      </c>
      <c r="C22" s="106" t="s">
        <v>235</v>
      </c>
      <c r="D22" s="106" t="s">
        <v>20</v>
      </c>
      <c r="E22" s="106" t="s">
        <v>237</v>
      </c>
    </row>
    <row r="23">
      <c r="A23" s="106" t="s">
        <v>239</v>
      </c>
      <c r="B23" s="106" t="s">
        <v>240</v>
      </c>
      <c r="C23" s="106" t="s">
        <v>241</v>
      </c>
      <c r="D23" s="116">
        <v>3150.0</v>
      </c>
      <c r="E23" s="130">
        <v>46464.0</v>
      </c>
    </row>
    <row r="24">
      <c r="A24" s="106" t="s">
        <v>239</v>
      </c>
      <c r="B24" s="106" t="s">
        <v>240</v>
      </c>
      <c r="C24" s="106" t="s">
        <v>249</v>
      </c>
      <c r="D24" s="116">
        <v>2650.0</v>
      </c>
      <c r="E24" s="130">
        <v>46219.0</v>
      </c>
    </row>
    <row r="25">
      <c r="A25" s="106" t="s">
        <v>239</v>
      </c>
      <c r="B25" s="106" t="s">
        <v>240</v>
      </c>
      <c r="C25" s="106" t="s">
        <v>252</v>
      </c>
      <c r="D25" s="116">
        <v>2600.0</v>
      </c>
      <c r="E25" s="130">
        <v>46828.0</v>
      </c>
    </row>
    <row r="26">
      <c r="A26" s="106" t="s">
        <v>239</v>
      </c>
      <c r="B26" s="106" t="s">
        <v>240</v>
      </c>
      <c r="C26" s="106" t="s">
        <v>254</v>
      </c>
      <c r="D26" s="116">
        <v>2680.0</v>
      </c>
      <c r="E26" s="132">
        <v>46863.0</v>
      </c>
    </row>
    <row r="27">
      <c r="A27" s="106" t="s">
        <v>101</v>
      </c>
      <c r="B27" s="106" t="s">
        <v>257</v>
      </c>
      <c r="C27" s="106" t="s">
        <v>258</v>
      </c>
      <c r="D27" s="116">
        <v>5390.0</v>
      </c>
      <c r="E27" s="130">
        <v>46764.0</v>
      </c>
    </row>
    <row r="28">
      <c r="A28" s="106" t="s">
        <v>101</v>
      </c>
      <c r="B28" s="106" t="s">
        <v>257</v>
      </c>
      <c r="C28" s="106" t="s">
        <v>261</v>
      </c>
      <c r="D28" s="116">
        <v>3235.0</v>
      </c>
      <c r="E28" s="130">
        <v>46673.0</v>
      </c>
    </row>
    <row r="29">
      <c r="A29" s="106" t="s">
        <v>101</v>
      </c>
      <c r="B29" s="106" t="s">
        <v>257</v>
      </c>
      <c r="C29" s="106" t="s">
        <v>264</v>
      </c>
      <c r="D29" s="116">
        <v>1230.0</v>
      </c>
      <c r="E29" s="106" t="s">
        <v>265</v>
      </c>
    </row>
    <row r="30">
      <c r="A30" s="106" t="s">
        <v>268</v>
      </c>
      <c r="B30" s="106"/>
      <c r="C30" s="106" t="s">
        <v>241</v>
      </c>
      <c r="D30" s="140">
        <v>2970.0</v>
      </c>
      <c r="E30" s="106"/>
    </row>
    <row r="31">
      <c r="A31" s="106" t="s">
        <v>268</v>
      </c>
      <c r="B31" s="106"/>
      <c r="C31" s="106" t="s">
        <v>258</v>
      </c>
      <c r="D31" s="140">
        <v>2970.0</v>
      </c>
      <c r="E31" s="106"/>
    </row>
    <row r="32">
      <c r="A32" s="106" t="s">
        <v>274</v>
      </c>
      <c r="B32" s="106" t="s">
        <v>275</v>
      </c>
      <c r="C32" s="106"/>
      <c r="D32" s="116">
        <v>5000.0</v>
      </c>
      <c r="E32" s="106" t="s">
        <v>277</v>
      </c>
    </row>
    <row r="42">
      <c r="A42" s="146" t="s">
        <v>279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48" t="s">
        <v>23</v>
      </c>
      <c r="B45" s="148" t="s">
        <v>289</v>
      </c>
      <c r="C45" s="148" t="s">
        <v>290</v>
      </c>
      <c r="D45" s="148" t="s">
        <v>68</v>
      </c>
      <c r="E45" s="148" t="s">
        <v>291</v>
      </c>
      <c r="F45" s="148" t="s">
        <v>293</v>
      </c>
      <c r="G45" s="148" t="s">
        <v>294</v>
      </c>
      <c r="H45" s="148" t="s">
        <v>295</v>
      </c>
      <c r="I45" s="148" t="s">
        <v>296</v>
      </c>
      <c r="J45" s="148" t="s">
        <v>297</v>
      </c>
    </row>
    <row r="46">
      <c r="A46" s="151" t="s">
        <v>299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7" t="s">
        <v>304</v>
      </c>
      <c r="B47" s="158">
        <v>596000.0</v>
      </c>
      <c r="C47" s="159">
        <v>0.126</v>
      </c>
      <c r="D47" s="158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8">
        <f t="shared" si="2"/>
        <v>615612.9729</v>
      </c>
      <c r="I47" s="158">
        <f t="shared" si="3"/>
        <v>212564.401</v>
      </c>
      <c r="J47" s="161">
        <f t="shared" si="4"/>
        <v>256387.1932</v>
      </c>
    </row>
    <row r="48">
      <c r="A48" s="151" t="s">
        <v>306</v>
      </c>
      <c r="B48" s="162"/>
      <c r="C48" s="163"/>
      <c r="D48" s="152">
        <f>IF(AND(B48&lt;&gt;"", C48&lt;&gt;"", E48&lt;&gt;""), PMT(C48/12, E48, -B48), 15250)</f>
        <v>15250</v>
      </c>
      <c r="E48" s="164"/>
      <c r="F48" s="154">
        <v>0.0</v>
      </c>
      <c r="G48" s="164" t="str">
        <f t="shared" si="1"/>
        <v/>
      </c>
      <c r="H48" s="152">
        <f t="shared" si="2"/>
        <v>0</v>
      </c>
      <c r="I48" s="162" t="str">
        <f t="shared" si="3"/>
        <v/>
      </c>
      <c r="J48" s="165" t="str">
        <f t="shared" si="4"/>
        <v/>
      </c>
    </row>
    <row r="49">
      <c r="A49" s="157" t="s">
        <v>49</v>
      </c>
      <c r="B49" s="158">
        <v>97110.0</v>
      </c>
      <c r="C49" s="166"/>
      <c r="D49" s="158">
        <f>IF(AND(B49&lt;&gt;"", C49&lt;&gt;"", E49&lt;&gt;""), PMT(C49/12, E49, -B49), 18972)</f>
        <v>18972</v>
      </c>
      <c r="E49" s="167"/>
      <c r="F49" s="160">
        <v>0.0</v>
      </c>
      <c r="G49" s="167" t="str">
        <f t="shared" si="1"/>
        <v/>
      </c>
      <c r="H49" s="158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51" t="s">
        <v>308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0" t="s">
        <v>313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51" t="s">
        <v>314</v>
      </c>
      <c r="B52" s="162"/>
      <c r="C52" s="163"/>
      <c r="D52" s="152">
        <f>IF(AND(B52&lt;&gt;"", C52&lt;&gt;"", E52&lt;&gt;""), PMT(C52/12, E52, -B52), 3850)</f>
        <v>3850</v>
      </c>
      <c r="E52" s="164"/>
      <c r="F52" s="154">
        <v>0.0</v>
      </c>
      <c r="G52" s="164" t="str">
        <f t="shared" si="1"/>
        <v/>
      </c>
      <c r="H52" s="152">
        <f t="shared" si="2"/>
        <v>0</v>
      </c>
      <c r="I52" s="162" t="str">
        <f t="shared" si="3"/>
        <v/>
      </c>
      <c r="J52" s="165" t="str">
        <f t="shared" si="4"/>
        <v/>
      </c>
    </row>
    <row r="61">
      <c r="A61" s="178" t="s">
        <v>142</v>
      </c>
      <c r="B61" s="178" t="s">
        <v>315</v>
      </c>
      <c r="C61" s="178" t="s">
        <v>20</v>
      </c>
      <c r="D61" s="178" t="s">
        <v>316</v>
      </c>
      <c r="E61" s="178" t="s">
        <v>317</v>
      </c>
      <c r="F61" s="178" t="s">
        <v>318</v>
      </c>
      <c r="G61" s="178" t="s">
        <v>20</v>
      </c>
      <c r="H61" s="106"/>
      <c r="I61" s="178" t="s">
        <v>319</v>
      </c>
      <c r="J61" s="106" t="s">
        <v>320</v>
      </c>
    </row>
    <row r="62">
      <c r="A62" s="109">
        <v>46143.0</v>
      </c>
      <c r="B62" s="106" t="s">
        <v>148</v>
      </c>
      <c r="C62" s="179">
        <v>11839.0</v>
      </c>
      <c r="D62" s="181" t="b">
        <v>1</v>
      </c>
      <c r="E62" s="106" t="s">
        <v>322</v>
      </c>
      <c r="F62" s="106" t="s">
        <v>323</v>
      </c>
      <c r="G62" s="179">
        <v>71000.0</v>
      </c>
      <c r="H62" s="106"/>
      <c r="I62" s="178" t="s">
        <v>324</v>
      </c>
      <c r="J62" s="179">
        <f>SUM(C62:C1000)</f>
        <v>84657</v>
      </c>
    </row>
    <row r="63">
      <c r="A63" s="109">
        <v>46144.0</v>
      </c>
      <c r="B63" s="106" t="s">
        <v>325</v>
      </c>
      <c r="C63" s="179">
        <v>3850.0</v>
      </c>
      <c r="D63" s="181" t="b">
        <v>1</v>
      </c>
      <c r="E63" s="106" t="s">
        <v>326</v>
      </c>
      <c r="F63" s="106"/>
      <c r="G63" s="184"/>
      <c r="H63" s="106"/>
      <c r="I63" s="178" t="s">
        <v>295</v>
      </c>
      <c r="J63" s="179">
        <f>SUMIFS(C62:C1000, D62:D1000, TRUE)</f>
        <v>50435</v>
      </c>
    </row>
    <row r="64">
      <c r="A64" s="109">
        <v>46145.0</v>
      </c>
      <c r="B64" s="106" t="s">
        <v>327</v>
      </c>
      <c r="C64" s="179">
        <v>4627.0</v>
      </c>
      <c r="D64" s="181" t="b">
        <v>1</v>
      </c>
      <c r="E64" s="106"/>
      <c r="F64" s="106"/>
      <c r="G64" s="184"/>
      <c r="H64" s="106"/>
      <c r="I64" s="178" t="s">
        <v>328</v>
      </c>
      <c r="J64" s="179">
        <f>SUMIFS(C62:C1000, D62:D1000, FALSE)</f>
        <v>34222</v>
      </c>
    </row>
    <row r="65">
      <c r="A65" s="109">
        <v>46147.0</v>
      </c>
      <c r="B65" s="106" t="s">
        <v>329</v>
      </c>
      <c r="C65" s="179">
        <v>5000.0</v>
      </c>
      <c r="D65" s="181" t="b">
        <v>1</v>
      </c>
      <c r="E65" s="106"/>
      <c r="F65" s="106"/>
      <c r="G65" s="184"/>
      <c r="H65" s="106"/>
      <c r="I65" s="178" t="s">
        <v>330</v>
      </c>
      <c r="J65" s="179">
        <f>SUM(G62:G1000)</f>
        <v>71000</v>
      </c>
    </row>
    <row r="66">
      <c r="A66" s="109">
        <v>46167.0</v>
      </c>
      <c r="B66" s="106" t="s">
        <v>332</v>
      </c>
      <c r="C66" s="179">
        <v>18972.0</v>
      </c>
      <c r="D66" s="181" t="b">
        <v>0</v>
      </c>
      <c r="E66" s="191">
        <v>97110.0</v>
      </c>
      <c r="F66" s="106"/>
      <c r="G66" s="184"/>
      <c r="H66" s="106"/>
      <c r="I66" s="178" t="s">
        <v>333</v>
      </c>
      <c r="J66" s="179">
        <f>J65-J62</f>
        <v>-13657</v>
      </c>
    </row>
    <row r="67">
      <c r="A67" s="109">
        <v>46146.0</v>
      </c>
      <c r="B67" s="106" t="s">
        <v>334</v>
      </c>
      <c r="C67" s="179">
        <v>13625.0</v>
      </c>
      <c r="D67" s="181" t="b">
        <v>1</v>
      </c>
      <c r="E67" s="106" t="s">
        <v>335</v>
      </c>
      <c r="F67" s="106"/>
      <c r="G67" s="184"/>
      <c r="H67" s="106"/>
      <c r="I67" s="106"/>
      <c r="J67" s="106"/>
    </row>
    <row r="68">
      <c r="A68" s="109">
        <v>46145.0</v>
      </c>
      <c r="B68" s="106" t="s">
        <v>337</v>
      </c>
      <c r="C68" s="179">
        <v>2494.0</v>
      </c>
      <c r="D68" s="181" t="b">
        <v>1</v>
      </c>
      <c r="E68" s="106"/>
      <c r="F68" s="106"/>
      <c r="G68" s="184"/>
      <c r="H68" s="106"/>
      <c r="I68" s="106"/>
      <c r="J68" s="106"/>
    </row>
    <row r="69">
      <c r="A69" s="109">
        <v>46144.0</v>
      </c>
      <c r="B69" s="106" t="s">
        <v>338</v>
      </c>
      <c r="C69" s="179">
        <v>4500.0</v>
      </c>
      <c r="D69" s="181" t="b">
        <v>1</v>
      </c>
      <c r="E69" s="106"/>
      <c r="F69" s="106"/>
      <c r="G69" s="184"/>
      <c r="H69" s="106"/>
      <c r="I69" s="106"/>
      <c r="J69" s="106"/>
    </row>
    <row r="70">
      <c r="A70" s="109">
        <v>46152.0</v>
      </c>
      <c r="B70" s="106" t="s">
        <v>339</v>
      </c>
      <c r="C70" s="179">
        <v>1500.0</v>
      </c>
      <c r="D70" s="181" t="b">
        <v>1</v>
      </c>
      <c r="E70" s="106"/>
      <c r="F70" s="106"/>
      <c r="G70" s="184"/>
      <c r="H70" s="106"/>
      <c r="I70" s="106"/>
      <c r="J70" s="106"/>
    </row>
    <row r="71">
      <c r="A71" s="109">
        <v>46152.0</v>
      </c>
      <c r="B71" s="106" t="s">
        <v>340</v>
      </c>
      <c r="C71" s="179">
        <v>3000.0</v>
      </c>
      <c r="D71" s="181" t="b">
        <v>1</v>
      </c>
      <c r="E71" s="106"/>
      <c r="F71" s="106"/>
      <c r="G71" s="184"/>
      <c r="H71" s="106"/>
      <c r="I71" s="106"/>
      <c r="J71" s="106"/>
    </row>
    <row r="72">
      <c r="A72" s="109">
        <v>46157.0</v>
      </c>
      <c r="B72" s="106" t="s">
        <v>341</v>
      </c>
      <c r="C72" s="179">
        <v>15250.0</v>
      </c>
      <c r="D72" s="181" t="b">
        <v>0</v>
      </c>
      <c r="E72" s="106"/>
      <c r="F72" s="106"/>
      <c r="G72" s="184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2" t="s">
        <v>142</v>
      </c>
      <c r="B1" s="105" t="s">
        <v>144</v>
      </c>
      <c r="C1" s="105" t="s">
        <v>146</v>
      </c>
      <c r="D1" s="105" t="s">
        <v>21</v>
      </c>
    </row>
    <row r="2">
      <c r="A2" s="108">
        <v>46060.0</v>
      </c>
      <c r="B2" s="13" t="s">
        <v>148</v>
      </c>
      <c r="C2" s="110">
        <v>12000.0</v>
      </c>
      <c r="D2" s="13" t="s">
        <v>150</v>
      </c>
    </row>
    <row r="3">
      <c r="A3" s="108">
        <v>46060.0</v>
      </c>
      <c r="B3" s="13" t="s">
        <v>152</v>
      </c>
      <c r="C3" s="13">
        <v>4600.0</v>
      </c>
      <c r="D3" s="13" t="s">
        <v>153</v>
      </c>
    </row>
    <row r="4">
      <c r="A4" s="113">
        <v>46180.0</v>
      </c>
      <c r="B4" s="13" t="s">
        <v>157</v>
      </c>
      <c r="C4" s="13">
        <v>110.0</v>
      </c>
    </row>
    <row r="5">
      <c r="A5" s="113">
        <v>46210.0</v>
      </c>
      <c r="B5" s="13" t="s">
        <v>101</v>
      </c>
      <c r="C5" s="110">
        <v>13600.0</v>
      </c>
      <c r="D5" s="13" t="s">
        <v>158</v>
      </c>
    </row>
    <row r="6">
      <c r="A6" s="113">
        <v>46241.0</v>
      </c>
      <c r="B6" s="13" t="s">
        <v>159</v>
      </c>
      <c r="C6" s="13">
        <v>2700.0</v>
      </c>
    </row>
    <row r="7">
      <c r="A7" s="113">
        <v>46241.0</v>
      </c>
      <c r="B7" s="13" t="s">
        <v>160</v>
      </c>
      <c r="C7" s="13">
        <v>2000.0</v>
      </c>
      <c r="D7" s="13" t="s">
        <v>161</v>
      </c>
    </row>
    <row r="8">
      <c r="A8" s="117" t="s">
        <v>162</v>
      </c>
      <c r="B8" s="13" t="s">
        <v>164</v>
      </c>
      <c r="C8" s="110">
        <v>15500.0</v>
      </c>
      <c r="D8" s="13" t="s">
        <v>165</v>
      </c>
    </row>
    <row r="9">
      <c r="A9" s="117" t="s">
        <v>166</v>
      </c>
      <c r="B9" s="13" t="s">
        <v>167</v>
      </c>
      <c r="C9" s="13">
        <v>2000.0</v>
      </c>
      <c r="D9" s="13"/>
    </row>
    <row r="10">
      <c r="A10" s="117" t="s">
        <v>168</v>
      </c>
      <c r="B10" s="13" t="s">
        <v>169</v>
      </c>
      <c r="C10" s="110">
        <v>18700.0</v>
      </c>
    </row>
    <row r="11">
      <c r="A11" s="117" t="s">
        <v>173</v>
      </c>
      <c r="B11" s="13" t="s">
        <v>175</v>
      </c>
      <c r="C11" s="13">
        <v>4000.0</v>
      </c>
    </row>
    <row r="12">
      <c r="A12" s="117" t="s">
        <v>177</v>
      </c>
      <c r="B12" s="13" t="s">
        <v>178</v>
      </c>
      <c r="C12" s="13">
        <v>3690.0</v>
      </c>
    </row>
    <row r="13">
      <c r="A13" s="117" t="s">
        <v>177</v>
      </c>
      <c r="B13" s="13" t="s">
        <v>182</v>
      </c>
      <c r="C13" s="13">
        <v>5089.0</v>
      </c>
    </row>
    <row r="14">
      <c r="A14" s="117" t="s">
        <v>185</v>
      </c>
      <c r="B14" s="13" t="s">
        <v>187</v>
      </c>
      <c r="C14" s="13">
        <v>5210.0</v>
      </c>
    </row>
    <row r="15">
      <c r="A15" s="117" t="s">
        <v>185</v>
      </c>
      <c r="B15" s="13" t="s">
        <v>167</v>
      </c>
      <c r="C15" s="13">
        <v>1250.0</v>
      </c>
    </row>
    <row r="16">
      <c r="A16" s="117" t="s">
        <v>185</v>
      </c>
      <c r="B16" s="13" t="s">
        <v>190</v>
      </c>
      <c r="C16" s="13">
        <v>1500.0</v>
      </c>
    </row>
    <row r="17">
      <c r="A17" s="117" t="s">
        <v>185</v>
      </c>
      <c r="B17" s="13" t="s">
        <v>192</v>
      </c>
      <c r="C17" s="13">
        <v>320.0</v>
      </c>
    </row>
    <row r="18">
      <c r="A18" s="117" t="s">
        <v>185</v>
      </c>
      <c r="B18" s="13" t="s">
        <v>195</v>
      </c>
      <c r="C18" s="13">
        <v>690.0</v>
      </c>
    </row>
    <row r="19">
      <c r="A19" s="117" t="s">
        <v>199</v>
      </c>
      <c r="D19" s="13" t="s">
        <v>200</v>
      </c>
    </row>
    <row r="20">
      <c r="A20" s="117" t="s">
        <v>202</v>
      </c>
      <c r="B20" s="13" t="s">
        <v>154</v>
      </c>
      <c r="C20" s="110">
        <v>12200.0</v>
      </c>
    </row>
    <row r="21">
      <c r="A21" s="117" t="s">
        <v>206</v>
      </c>
      <c r="B21" s="13" t="s">
        <v>207</v>
      </c>
      <c r="C21" s="13">
        <v>3000.0</v>
      </c>
    </row>
    <row r="22">
      <c r="A22" s="117" t="s">
        <v>209</v>
      </c>
      <c r="B22" s="13" t="s">
        <v>211</v>
      </c>
      <c r="C22" s="110">
        <v>30000.0</v>
      </c>
    </row>
    <row r="23">
      <c r="A23" s="117" t="s">
        <v>209</v>
      </c>
      <c r="B23" s="13" t="s">
        <v>216</v>
      </c>
      <c r="C23" s="13">
        <v>3200.0</v>
      </c>
    </row>
    <row r="24">
      <c r="A24" s="117" t="s">
        <v>219</v>
      </c>
      <c r="B24" s="13" t="s">
        <v>221</v>
      </c>
      <c r="C24" s="13">
        <v>6000.0</v>
      </c>
    </row>
    <row r="25">
      <c r="A25" s="117" t="s">
        <v>223</v>
      </c>
      <c r="B25" s="13" t="s">
        <v>70</v>
      </c>
      <c r="C25" s="13">
        <v>2000.0</v>
      </c>
      <c r="D25" s="13" t="s">
        <v>227</v>
      </c>
    </row>
    <row r="26">
      <c r="A26" s="125"/>
    </row>
    <row r="27">
      <c r="A27" s="125"/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5" t="s">
        <v>309</v>
      </c>
      <c r="B1" s="105" t="s">
        <v>310</v>
      </c>
      <c r="C1" s="105" t="s">
        <v>311</v>
      </c>
      <c r="D1" s="105" t="s">
        <v>20</v>
      </c>
      <c r="E1" s="105" t="s">
        <v>312</v>
      </c>
    </row>
  </sheetData>
  <drawing r:id="rId1"/>
</worksheet>
</file>