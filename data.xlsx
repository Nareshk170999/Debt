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ans" sheetId="1" r:id="rId5"/>
    <sheet state="visible" name="Monthly View" sheetId="2" r:id="rId6"/>
    <sheet state="visible" name="June 2026 Expenses" sheetId="3" r:id="rId7"/>
    <sheet state="visible" name="Gold Loan" sheetId="4" r:id="rId8"/>
    <sheet state="visible" name="Tips to Close Faster" sheetId="5" r:id="rId9"/>
    <sheet state="visible" name="General" sheetId="6" r:id="rId10"/>
    <sheet state="visible" name="July 2026 Expense " sheetId="7" r:id="rId11"/>
    <sheet state="visible" name="August 2026" sheetId="8" r:id="rId12"/>
  </sheets>
  <definedNames/>
  <calcPr/>
</workbook>
</file>

<file path=xl/sharedStrings.xml><?xml version="1.0" encoding="utf-8"?>
<sst xmlns="http://schemas.openxmlformats.org/spreadsheetml/2006/main" count="517" uniqueCount="393">
  <si>
    <t>Family Loan Master Sheet</t>
  </si>
  <si>
    <t>Monthly Life Expenses</t>
  </si>
  <si>
    <t>Month</t>
  </si>
  <si>
    <t>Income Source</t>
  </si>
  <si>
    <t>Category</t>
  </si>
  <si>
    <t>Amount</t>
  </si>
  <si>
    <t>Notes</t>
  </si>
  <si>
    <t>Amount (₹)</t>
  </si>
  <si>
    <t>TO Amma</t>
  </si>
  <si>
    <t>Naresh</t>
  </si>
  <si>
    <t>Gold Loan Tracker</t>
  </si>
  <si>
    <t>Siva Priya Loan</t>
  </si>
  <si>
    <t>APPA</t>
  </si>
  <si>
    <t>AMMA</t>
  </si>
  <si>
    <t>Gram</t>
  </si>
  <si>
    <t>Veera</t>
  </si>
  <si>
    <t>Month-by-Month Payment View — May 2026 to Dec 2030</t>
  </si>
  <si>
    <t>Interest in Bank</t>
  </si>
  <si>
    <t>Bank Name</t>
  </si>
  <si>
    <t>Account Holder</t>
  </si>
  <si>
    <t>Loan Amount</t>
  </si>
  <si>
    <t>Date of Kept</t>
  </si>
  <si>
    <t>Interest to Pay</t>
  </si>
  <si>
    <t>Total Income</t>
  </si>
  <si>
    <t>HOME EXPENSE</t>
  </si>
  <si>
    <t xml:space="preserve">GRINDER &amp; FAN </t>
  </si>
  <si>
    <t>EMI FROM JULY 1740</t>
  </si>
  <si>
    <t>Thandal</t>
  </si>
  <si>
    <t>From Raghuls 6250                           2 June</t>
  </si>
  <si>
    <t>D Mart</t>
  </si>
  <si>
    <t>Naresh gave 11,000.                     6/2/2026</t>
  </si>
  <si>
    <t>CUB</t>
  </si>
  <si>
    <t>Mani Mozhi</t>
  </si>
  <si>
    <t>Green cell = loan closes this month  |  Amber row = multiple closures  |  Blue row = car window (Jun 2027)  |  Red free cash = deficit</t>
  </si>
  <si>
    <t xml:space="preserve">snacks </t>
  </si>
  <si>
    <t>Veera kattu potathu</t>
  </si>
  <si>
    <t xml:space="preserve">TVS </t>
  </si>
  <si>
    <t>(4K from Raghuls&amp; 1k Naresh).  6/4/2026</t>
  </si>
  <si>
    <t xml:space="preserve">Home expense </t>
  </si>
  <si>
    <t xml:space="preserve">From Gold Loan.                                 5 June </t>
  </si>
  <si>
    <t>Veera Scooty EMI</t>
  </si>
  <si>
    <t xml:space="preserve">எண்ணெய் செட்டியார் </t>
  </si>
  <si>
    <t>Loan Name</t>
  </si>
  <si>
    <t xml:space="preserve">Plumper </t>
  </si>
  <si>
    <t>Monthly EMI (₹)</t>
  </si>
  <si>
    <t xml:space="preserve">Sivapriya Tablet </t>
  </si>
  <si>
    <t xml:space="preserve">From Gold Loan.                                 6 June </t>
  </si>
  <si>
    <t>End Date</t>
  </si>
  <si>
    <t>EMIs Left
(approx)</t>
  </si>
  <si>
    <t xml:space="preserve">Veera Hospital Expenses </t>
  </si>
  <si>
    <t>Remaining
Amount (₹)</t>
  </si>
  <si>
    <t>Equitas Home loan</t>
  </si>
  <si>
    <t>SMFG Personal
(Naresh)</t>
  </si>
  <si>
    <t>Appa Amma Dress</t>
  </si>
  <si>
    <t xml:space="preserve">Groceries </t>
  </si>
  <si>
    <t xml:space="preserve">From Gold Loan.                                 7 June </t>
  </si>
  <si>
    <t>₹26,494</t>
  </si>
  <si>
    <t>Income</t>
  </si>
  <si>
    <t>Muthu Chithapa</t>
  </si>
  <si>
    <t xml:space="preserve">Scooty service </t>
  </si>
  <si>
    <t xml:space="preserve">From Gold Loan.                                 8 June </t>
  </si>
  <si>
    <t>Personal</t>
  </si>
  <si>
    <t>Total EMI</t>
  </si>
  <si>
    <t>Veera Dress</t>
  </si>
  <si>
    <t>Apr 2031</t>
  </si>
  <si>
    <t>Expenses</t>
  </si>
  <si>
    <t>ESAF</t>
  </si>
  <si>
    <t xml:space="preserve">10,000 from Naresh </t>
  </si>
  <si>
    <t>Free Cash</t>
  </si>
  <si>
    <t>Net Recharge</t>
  </si>
  <si>
    <t>Krishnamoorthy</t>
  </si>
  <si>
    <t>Appa</t>
  </si>
  <si>
    <t>Events</t>
  </si>
  <si>
    <t>20% rate – highest cost loan</t>
  </si>
  <si>
    <t>AMMA - Microloan</t>
  </si>
  <si>
    <t>SBI Personal
(SivaPriya)</t>
  </si>
  <si>
    <t>Cylinder</t>
  </si>
  <si>
    <t>SivaPriya</t>
  </si>
  <si>
    <t>Jan 2028</t>
  </si>
  <si>
    <t>Other loan</t>
  </si>
  <si>
    <t>21 EMIs left</t>
  </si>
  <si>
    <t>Movie</t>
  </si>
  <si>
    <t>Equitas Home
(Appa)</t>
  </si>
  <si>
    <t>Mat</t>
  </si>
  <si>
    <t>Credit Card</t>
  </si>
  <si>
    <t>Gold coin -2 grams</t>
  </si>
  <si>
    <t xml:space="preserve">credit card.                                        25 June </t>
  </si>
  <si>
    <t>TVS Excel
(Appa)</t>
  </si>
  <si>
    <t>Home Loan</t>
  </si>
  <si>
    <t>DIO Loan</t>
  </si>
  <si>
    <t>Dec 2030</t>
  </si>
  <si>
    <t>Samasta 1</t>
  </si>
  <si>
    <t>NareshKumar</t>
  </si>
  <si>
    <t>Samasta 2</t>
  </si>
  <si>
    <t>Samasta 3</t>
  </si>
  <si>
    <t>No prepayment penalty!</t>
  </si>
  <si>
    <t>Samasta 4</t>
  </si>
  <si>
    <t>ESAF 1</t>
  </si>
  <si>
    <t>Oct 2026</t>
  </si>
  <si>
    <t>ESAF 2</t>
  </si>
  <si>
    <t>Urgent – 36-48% interest!</t>
  </si>
  <si>
    <t>ESAF 3</t>
  </si>
  <si>
    <t>Aasirvad 1</t>
  </si>
  <si>
    <t>Aasirvad 1 2</t>
  </si>
  <si>
    <t>Vehicle</t>
  </si>
  <si>
    <t>Other Loan</t>
  </si>
  <si>
    <t>Jul 2027</t>
  </si>
  <si>
    <t>EMI</t>
  </si>
  <si>
    <t>15 EMIs left</t>
  </si>
  <si>
    <t>Jun 2026</t>
  </si>
  <si>
    <t>Microfinance</t>
  </si>
  <si>
    <t>Mar 2027</t>
  </si>
  <si>
    <t>3rd Thu every month</t>
  </si>
  <si>
    <t>Jul 2026</t>
  </si>
  <si>
    <t>Ends Jul 2026 – almost done!</t>
  </si>
  <si>
    <t>Mar 2028</t>
  </si>
  <si>
    <t>Apr 2028</t>
  </si>
  <si>
    <t>2nd Wed every month</t>
  </si>
  <si>
    <t>Oct 2027</t>
  </si>
  <si>
    <t>Feb 2027</t>
  </si>
  <si>
    <t>Jun 2028</t>
  </si>
  <si>
    <t>Aasirvad EMIs</t>
  </si>
  <si>
    <t>Aasirvad 2</t>
  </si>
  <si>
    <t>Dec 2028</t>
  </si>
  <si>
    <t>Misc family loan</t>
  </si>
  <si>
    <t>Bajai EMI</t>
  </si>
  <si>
    <t>DeC 2026</t>
  </si>
  <si>
    <t>Grinder &amp; Fan</t>
  </si>
  <si>
    <t>TOTAL EMI / MONTH</t>
  </si>
  <si>
    <t>FREE CASH AFTER EMIs</t>
  </si>
  <si>
    <t>COLOR LEGEND</t>
  </si>
  <si>
    <t>Credit Card — URGENT (36-48% interest)</t>
  </si>
  <si>
    <t>Personal Loans</t>
  </si>
  <si>
    <t>Home Loan (no prepayment penalty)</t>
  </si>
  <si>
    <t>Vehicle Loans</t>
  </si>
  <si>
    <t>Microfinance / Small Loans</t>
  </si>
  <si>
    <t>Samasta 2 closes ✓</t>
  </si>
  <si>
    <t>Aug 2026</t>
  </si>
  <si>
    <t>Sep 2026</t>
  </si>
  <si>
    <t>Tips to Close All Loans Faster</t>
  </si>
  <si>
    <t>Follow these steps in order — highest impact first</t>
  </si>
  <si>
    <t>Date</t>
  </si>
  <si>
    <t>1</t>
  </si>
  <si>
    <t xml:space="preserve">Category Expense </t>
  </si>
  <si>
    <t xml:space="preserve">Amount </t>
  </si>
  <si>
    <t>URGENT — Fix Credit Card NOW</t>
  </si>
  <si>
    <t>Call your bank immediately. The credit card ₹18,972/month charges 36–48% interest — the most expensive debt you have. Ask to convert to a personal loan at 12–15% or settle the ₹97,110 balance in one shot. Every month you wait costs ₹3,000–4,000 extra in interest alone.</t>
  </si>
  <si>
    <t>Sivapriya Loan</t>
  </si>
  <si>
    <t>2</t>
  </si>
  <si>
    <t>Stop taking any new loans</t>
  </si>
  <si>
    <t>20,000 from Naresh</t>
  </si>
  <si>
    <t>Your EMIs (₹1,15,135) already exceed your combined income (₹1,10,000). Even one new EMI will push you into serious default risk. No new microfinance, personal, or vehicle loan until at least 2027.</t>
  </si>
  <si>
    <t>3</t>
  </si>
  <si>
    <t>Jul 2026 — Samasta 2 closes (₹2,650 freed)</t>
  </si>
  <si>
    <t xml:space="preserve">Excel EMI </t>
  </si>
  <si>
    <t>When Samasta 2 ends in July 2026, DO NOT spend that ₹2,650. Immediately redirect it to pay extra on the Credit Card principal. This discipline of 'redirecting freed EMIs' is the most powerful debt-clearing tool you have.</t>
  </si>
  <si>
    <t>Balance-4k Appa</t>
  </si>
  <si>
    <t>4</t>
  </si>
  <si>
    <t>Oct 2026 — ESAF 2 closes (₹3,235 freed)</t>
  </si>
  <si>
    <t>Add this ₹3,235 to your Credit Card or SMFG extra payment. By Oct 2026 you'll have ₹5,885/month extra cash if you stay disciplined.</t>
  </si>
  <si>
    <t>Chicken noodles</t>
  </si>
  <si>
    <t>5</t>
  </si>
  <si>
    <t>From Gold Loan 23,700</t>
  </si>
  <si>
    <t>Nov–Dec 2026 — TVS + DIO close (₹10,725 freed)</t>
  </si>
  <si>
    <t>Pattu புடவை+covering chain(700+2000)</t>
  </si>
  <si>
    <t>Expense</t>
  </si>
  <si>
    <t xml:space="preserve">Amma in hand </t>
  </si>
  <si>
    <t>Both vehicle loans end around the same time, freeing ₹10,725/month. Combined with previous savings, you'll have ~₹16,610 extra per month. Use ALL of this toward SMFG prepayment. Call SMFG and ask about part-payment options (note: SMFG only allows FULL foreclosure, not partial — so build a fund for that).</t>
  </si>
  <si>
    <t>Balance 5000 in Amma account</t>
  </si>
  <si>
    <t>6</t>
  </si>
  <si>
    <t>Jan 2027 — ESAF 1 closes (₹5,390 freed)</t>
  </si>
  <si>
    <t>13-07-2026</t>
  </si>
  <si>
    <t>Another ₹5,390/month freed. Now you have ~₹22,000 extra monthly. Start a dedicated 'Loan Closure Fund' savings account. Target ₹8–10L in this account for SMFG foreclosure.</t>
  </si>
  <si>
    <t>Equitas Home Loan</t>
  </si>
  <si>
    <t>7</t>
  </si>
  <si>
    <t xml:space="preserve">50,000 from Naresh </t>
  </si>
  <si>
    <t>Amma</t>
  </si>
  <si>
    <t>14-07-2026</t>
  </si>
  <si>
    <t xml:space="preserve">வார தண்டல் </t>
  </si>
  <si>
    <t>Mar 2027 — SBI + Samasta 1 close (₹15,000 freed!)</t>
  </si>
  <si>
    <t>16-07-2026</t>
  </si>
  <si>
    <t>samasta</t>
  </si>
  <si>
    <t>17-07-2026</t>
  </si>
  <si>
    <t xml:space="preserve">அஞ்சு </t>
  </si>
  <si>
    <t>This is your biggest milestone. SBI Personal Loan (₹11,839) and Samasta 1 (₹3,150) both close around March 2027, freeing ~₹15,000/month. Your total monthly savings now hit ₹37,000+. This is when you should buy your car (₹12–15L, EMI ₹18–22K stays comfortable).</t>
  </si>
  <si>
    <t xml:space="preserve">Credit card </t>
  </si>
  <si>
    <t>8</t>
  </si>
  <si>
    <t>19-07-2026</t>
  </si>
  <si>
    <t>Jun 2027 — Car Purchase Window</t>
  </si>
  <si>
    <t>Dress-Hari&amp;அப்பா(1590+2100)</t>
  </si>
  <si>
    <t xml:space="preserve">veera Licence </t>
  </si>
  <si>
    <t>By June 2027 your free cash is ₹30,000+/month. Target a ₹12–15L car (Tata Nexon / Hyundai Venue / Maruti Brezza base). Save ₹2–3L as down payment from Apr–Jun 2027 freed cash. EMI of ~₹20–24K will be comfortable. Avoid the ₹23L car until 2028.</t>
  </si>
  <si>
    <t>Sivapriya Dress(2789+2300)</t>
  </si>
  <si>
    <t>9</t>
  </si>
  <si>
    <t xml:space="preserve">Bank gold interest </t>
  </si>
  <si>
    <t>20-07-2026</t>
  </si>
  <si>
    <t>Arivazhagi Loan</t>
  </si>
  <si>
    <t xml:space="preserve">Mahesh </t>
  </si>
  <si>
    <t>Equitas Home Loan — prepay aggressively (ZERO penalty)</t>
  </si>
  <si>
    <t xml:space="preserve">Petrol </t>
  </si>
  <si>
    <t>தட்டு for manja thanni</t>
  </si>
  <si>
    <t>Equitas home loan has NO prepayment penalty on floating rate. Every extra rupee you pay reduces principal directly and saves interest. From 2027 onwards, put ₹10,000–15,000/month extra toward this loan. You can close it 2–3 years early and save ₹2–3L in interest. Call Equitas: 1800-103-2977 to request a revised amortization schedule.</t>
  </si>
  <si>
    <t>10</t>
  </si>
  <si>
    <t>Amma eye hospital</t>
  </si>
  <si>
    <t>Snacks</t>
  </si>
  <si>
    <t>SMFG Loan — wait for 36 EMIs then foreclose</t>
  </si>
  <si>
    <t>SMFG charges 7% foreclosure fee before 18 EMIs, 5% before 24, 3% before 36, and ZERO from 36 EMIs onwards (around Jun 2029). Build your foreclosure fund now. By Jun 2029 the outstanding will be ~₹7–8L. Close it in one shot with zero penalty and save years of 20% interest.</t>
  </si>
  <si>
    <t>Auto+Poo+snacks(400+80+210)</t>
  </si>
  <si>
    <t>22-07-2026</t>
  </si>
  <si>
    <t>11</t>
  </si>
  <si>
    <t>நரேஷ்(50,000+10,000)</t>
  </si>
  <si>
    <t>Thiliban</t>
  </si>
  <si>
    <t>24-07-2026</t>
  </si>
  <si>
    <t>The Redirect Rule — most important habit</t>
  </si>
  <si>
    <t>25-07-2026</t>
  </si>
  <si>
    <t>Gold stud</t>
  </si>
  <si>
    <t>Fruits+Auto(2600+400)</t>
  </si>
  <si>
    <t>Old gold(2grams)</t>
  </si>
  <si>
    <t>Every time a loan closes, NEVER increase spending. Redirect 100% of that freed EMI to the next target loan. This snowball approach means each closure speeds up the next one. Example: Jul 2026 Samasta closes → add ₹2,650 to CC. Oct 2026 ESAF closes → add ₹3,235 more. By Mar 2027 you have ₹37K+ extra monthly without earning more.</t>
  </si>
  <si>
    <t>26-07-2026</t>
  </si>
  <si>
    <t>Manja thanni varisai</t>
  </si>
  <si>
    <t>Auto</t>
  </si>
  <si>
    <t>12</t>
  </si>
  <si>
    <t xml:space="preserve">Total amount </t>
  </si>
  <si>
    <t>Van</t>
  </si>
  <si>
    <t xml:space="preserve">Amma Tablet </t>
  </si>
  <si>
    <t>27-07-2026</t>
  </si>
  <si>
    <t xml:space="preserve">Aashirvad </t>
  </si>
  <si>
    <t>Emergency Fund — build ₹50,000 buffer</t>
  </si>
  <si>
    <t>28-07-2026</t>
  </si>
  <si>
    <t>With this many loans, one missed payment can trigger a penalty chain. Keep ₹30,000–50,000 in a savings account untouched as a safety net. Use Equitas Bank savings account (no minimum balance for basic accounts). This prevents you from needing emergency loans which would restart the cycle.</t>
  </si>
  <si>
    <t>Balance 4k</t>
  </si>
  <si>
    <t>13</t>
  </si>
  <si>
    <t>Microfinance discipline — never miss a due date</t>
  </si>
  <si>
    <t>Samasta loans: 3rd Thursday of every month. ESAF loans: 2nd Wednesday of every month. Missing even one microfinance EMI triggers collection visits (₹250/visit penalty) and damages your CIBIL score, making future loans costlier. Set phone reminders.</t>
  </si>
  <si>
    <t>14</t>
  </si>
  <si>
    <t>Loan name</t>
  </si>
  <si>
    <t>2028 onwards — freedom is close</t>
  </si>
  <si>
    <t xml:space="preserve">Total </t>
  </si>
  <si>
    <t>1,49,359</t>
  </si>
  <si>
    <t>By April 2028 all microfinance loans will be closed. Only SMFG (₹26,494) + Equitas Home (₹15,250) remain = ₹41,744/month total. On ₹1,10,000 income that leaves ₹68,000/month for life, savings, and your car EMI. Focus all surplus on SMFG foreclosure fund targeting Jun 2029.</t>
  </si>
  <si>
    <t>Name</t>
  </si>
  <si>
    <t>15</t>
  </si>
  <si>
    <t>Key contacts to call NOW</t>
  </si>
  <si>
    <t>Last date</t>
  </si>
  <si>
    <t>Credit Card: Call your card bank and ask for balance-to-loan conversion. SMFG: 1800-103-6001 — ask for foreclosure statement when ready. Equitas Home Loan: 1800-103-2977 — ask for part-payment process. SBI: Visit nearest branch with loan account number for prepayment.</t>
  </si>
  <si>
    <t>Samasta</t>
  </si>
  <si>
    <t>3rd Thurs of every month</t>
  </si>
  <si>
    <t>Kalyani</t>
  </si>
  <si>
    <t>MILESTONE CALENDAR</t>
  </si>
  <si>
    <t>Sangeetha</t>
  </si>
  <si>
    <t xml:space="preserve">Priya </t>
  </si>
  <si>
    <t>Event</t>
  </si>
  <si>
    <t>Action / Impact</t>
  </si>
  <si>
    <t>Thavamani</t>
  </si>
  <si>
    <t>Samasta 2 ends</t>
  </si>
  <si>
    <t xml:space="preserve">2nd Wednesday </t>
  </si>
  <si>
    <t>Manimozhi</t>
  </si>
  <si>
    <t>₹2,650/mo freed → redirect to Credit Card</t>
  </si>
  <si>
    <t>Sivapriya</t>
  </si>
  <si>
    <t>ESAF 2 ends</t>
  </si>
  <si>
    <t>Pazhaniyammal</t>
  </si>
  <si>
    <t>₹3,235/mo freed → total ₹5,885 extra</t>
  </si>
  <si>
    <t>14 due</t>
  </si>
  <si>
    <t>Nov 2026</t>
  </si>
  <si>
    <t>Aasirvad</t>
  </si>
  <si>
    <t>TVS + DIO end</t>
  </si>
  <si>
    <t>₹10,725/mo freed → total ₹16,610 extra</t>
  </si>
  <si>
    <t>Jan 2027</t>
  </si>
  <si>
    <t>ESAF 1 ends</t>
  </si>
  <si>
    <t>Arivazhagi loan</t>
  </si>
  <si>
    <t>₹5,390/mo freed → total ₹22,000 extra</t>
  </si>
  <si>
    <t xml:space="preserve">20th of every month </t>
  </si>
  <si>
    <t>c</t>
  </si>
  <si>
    <t>SBI + Samasta 1 end</t>
  </si>
  <si>
    <t>Debt &amp; EMI Tracker</t>
  </si>
  <si>
    <t>₹15,000/mo freed → total ₹37,000 extra!</t>
  </si>
  <si>
    <t>Jun 2027</t>
  </si>
  <si>
    <t>Car purchase window</t>
  </si>
  <si>
    <t>Buy ₹12–15L car — EMI fits comfortably</t>
  </si>
  <si>
    <t>ESAF 3 ends</t>
  </si>
  <si>
    <t>More microfinance cleared</t>
  </si>
  <si>
    <t>ESAF 2 + Samasta 1 cleared</t>
  </si>
  <si>
    <t>Almost all micro loans done</t>
  </si>
  <si>
    <t>SBI fully closed</t>
  </si>
  <si>
    <t>Major milestone — only SMFG + Home remain</t>
  </si>
  <si>
    <t>All microfinance cleared</t>
  </si>
  <si>
    <t>₹57K/mo free — only 2 loans left</t>
  </si>
  <si>
    <t>Jun 2029</t>
  </si>
  <si>
    <t>Principal Amount</t>
  </si>
  <si>
    <t>Interest Rate (%)</t>
  </si>
  <si>
    <t>Total EMIs</t>
  </si>
  <si>
    <t>SMFG 0% foreclosure zone</t>
  </si>
  <si>
    <t>EMIs Paid</t>
  </si>
  <si>
    <t>Remaining EMIs</t>
  </si>
  <si>
    <t>Total Paid</t>
  </si>
  <si>
    <t>Close SMFG loan with ZERO penalty!</t>
  </si>
  <si>
    <t>Remaining Balance</t>
  </si>
  <si>
    <t>Total Interest</t>
  </si>
  <si>
    <t>Equitas Home Loan ends</t>
  </si>
  <si>
    <t>Debt FREE! (or close earlier with prepayment)</t>
  </si>
  <si>
    <t>SMFG Personal Loan - Naresh</t>
  </si>
  <si>
    <t>Credit Card closes ✓</t>
  </si>
  <si>
    <t>SBI Personal Loan - SivaPriya</t>
  </si>
  <si>
    <t>Equitas Home Loan - (APPA)Krishnamoorthy</t>
  </si>
  <si>
    <t>TVS Excel - (APPA)Krishnamoorthy</t>
  </si>
  <si>
    <t>DATE</t>
  </si>
  <si>
    <t>CREDIT Amount</t>
  </si>
  <si>
    <t xml:space="preserve">Expense </t>
  </si>
  <si>
    <t>Note</t>
  </si>
  <si>
    <t xml:space="preserve">DIO </t>
  </si>
  <si>
    <t>31-07-2026</t>
  </si>
  <si>
    <t>Dec 2026</t>
  </si>
  <si>
    <t>Naresh salary</t>
  </si>
  <si>
    <t>Veera salary</t>
  </si>
  <si>
    <t>Appa Bike</t>
  </si>
  <si>
    <t>Groceries</t>
  </si>
  <si>
    <t xml:space="preserve">Fish prawn </t>
  </si>
  <si>
    <t>Amma (in hand)</t>
  </si>
  <si>
    <t>(Balance from last month)</t>
  </si>
  <si>
    <t xml:space="preserve">Sivapriya </t>
  </si>
  <si>
    <t>Balance-42,000</t>
  </si>
  <si>
    <t>Inverter</t>
  </si>
  <si>
    <t>Type of expenditure</t>
  </si>
  <si>
    <t>Paid/unpaid</t>
  </si>
  <si>
    <t>Balance as of the last EMI</t>
  </si>
  <si>
    <t>Incomes and Borrowings</t>
  </si>
  <si>
    <t>Summary</t>
  </si>
  <si>
    <t/>
  </si>
  <si>
    <t>2,02,625.00</t>
  </si>
  <si>
    <t>Total Expenses</t>
  </si>
  <si>
    <t>Inverter EMI</t>
  </si>
  <si>
    <t>EMI over</t>
  </si>
  <si>
    <t>TVS EXCEL EMI</t>
  </si>
  <si>
    <t>Total Unpaid</t>
  </si>
  <si>
    <t>DIO EMI(Scotty)</t>
  </si>
  <si>
    <t>Total Incomes</t>
  </si>
  <si>
    <t>Credit card</t>
  </si>
  <si>
    <t>Net Balance</t>
  </si>
  <si>
    <t>Naresh Personal Loan</t>
  </si>
  <si>
    <t>4,47,707</t>
  </si>
  <si>
    <t>Home EB</t>
  </si>
  <si>
    <t>Muthu Interest</t>
  </si>
  <si>
    <t>Muthu interest</t>
  </si>
  <si>
    <t>Anjuchithi interest</t>
  </si>
  <si>
    <t>Equites Home loan</t>
  </si>
  <si>
    <t>ESAF 3 closes ✓</t>
  </si>
  <si>
    <t>Samasta 1 closes ✓</t>
  </si>
  <si>
    <t>Apr 2027</t>
  </si>
  <si>
    <t>May 2027</t>
  </si>
  <si>
    <t>Car purchase window opens!</t>
  </si>
  <si>
    <t>TVS Excel closes ✓  |  DIO Loan closes ✓</t>
  </si>
  <si>
    <t>Aug 2027</t>
  </si>
  <si>
    <t>Sep 2027</t>
  </si>
  <si>
    <t>ESAF 2 closes ✓</t>
  </si>
  <si>
    <t>Nov 2027</t>
  </si>
  <si>
    <t>Dec 2027</t>
  </si>
  <si>
    <t>SBI Personal closes ✓  |  ESAF 1 closes ✓</t>
  </si>
  <si>
    <t>Feb 2028</t>
  </si>
  <si>
    <t>Samasta 3 closes ✓</t>
  </si>
  <si>
    <t>Samasta 4 closes ✓</t>
  </si>
  <si>
    <t>May 2028</t>
  </si>
  <si>
    <t>Aasirvad (x2) closes ✓</t>
  </si>
  <si>
    <t>Jul 2028</t>
  </si>
  <si>
    <t>Aug 2028</t>
  </si>
  <si>
    <t>Sep 2028</t>
  </si>
  <si>
    <t>Oct 2028</t>
  </si>
  <si>
    <t>Nov 2028</t>
  </si>
  <si>
    <t>Other Loan closes ✓</t>
  </si>
  <si>
    <t>Jan 2029</t>
  </si>
  <si>
    <t>Feb 2029</t>
  </si>
  <si>
    <t>Mar 2029</t>
  </si>
  <si>
    <t>Apr 2029</t>
  </si>
  <si>
    <t>May 2029</t>
  </si>
  <si>
    <t>SMFG 0% foreclosure from here</t>
  </si>
  <si>
    <t>Jul 2029</t>
  </si>
  <si>
    <t>Aug 2029</t>
  </si>
  <si>
    <t>Sep 2029</t>
  </si>
  <si>
    <t>Oct 2029</t>
  </si>
  <si>
    <t>Nov 2029</t>
  </si>
  <si>
    <t>Dec 2029</t>
  </si>
  <si>
    <t>Jan 2030</t>
  </si>
  <si>
    <t>Feb 2030</t>
  </si>
  <si>
    <t>Mar 2030</t>
  </si>
  <si>
    <t>Apr 2030</t>
  </si>
  <si>
    <t>May 2030</t>
  </si>
  <si>
    <t>Jun 2030</t>
  </si>
  <si>
    <t>Jul 2030</t>
  </si>
  <si>
    <t>Aug 2030</t>
  </si>
  <si>
    <t>Sep 2030</t>
  </si>
  <si>
    <t>Oct 2030</t>
  </si>
  <si>
    <t>Nov 2030</t>
  </si>
  <si>
    <t>Equitas Home closes ✓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</si>
</sst>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mmmm yyyy"/>
    <numFmt numFmtId="165" formatCode="₹#,##0.00"/>
    <numFmt numFmtId="166" formatCode="d mmmm"/>
    <numFmt numFmtId="167" formatCode="&quot;₹&quot;#,##0.00"/>
    <numFmt numFmtId="168" formatCode="yyyy-mm-dd"/>
    <numFmt numFmtId="169" formatCode="&quot;₹&quot;#,##0;\(&quot;₹&quot;#,##0\);&quot;-&quot;"/>
    <numFmt numFmtId="170" formatCode="₹#,##0"/>
    <numFmt numFmtId="171" formatCode="mm-dd-yyyy"/>
    <numFmt numFmtId="172" formatCode="dd/mm/yyyy"/>
    <numFmt numFmtId="173" formatCode="d mmm yyyy"/>
    <numFmt numFmtId="174" formatCode="d mmmm yyyy"/>
    <numFmt numFmtId="175" formatCode="mm-dd"/>
  </numFmts>
  <fonts count="30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4.0"/>
      <color theme="1"/>
      <name val="Montserrat"/>
    </font>
    <font>
      <b/>
      <color rgb="FFFFFFFF"/>
      <name val="Roboto"/>
    </font>
    <font>
      <b/>
      <color rgb="FFFFFFFF"/>
      <name val="Calibri"/>
      <scheme val="minor"/>
    </font>
    <font>
      <color theme="1"/>
      <name val="Calibri"/>
      <scheme val="minor"/>
    </font>
    <font>
      <b/>
      <sz val="24.0"/>
      <color rgb="FF77580B"/>
      <name val="Montserrat"/>
    </font>
    <font>
      <sz val="11.0"/>
      <color theme="1"/>
      <name val="Calibri"/>
    </font>
    <font>
      <b/>
      <sz val="10.0"/>
      <color rgb="FFFFFFFF"/>
      <name val="Roboto"/>
    </font>
    <font>
      <b/>
      <sz val="13.0"/>
      <color rgb="FFFFFFFF"/>
      <name val="Arial"/>
    </font>
    <font>
      <sz val="10.0"/>
      <color rgb="FF1E1A12"/>
      <name val="Roboto"/>
    </font>
    <font>
      <b/>
      <sz val="9.0"/>
      <color rgb="FFFFFFFF"/>
      <name val="Arial"/>
    </font>
    <font>
      <b/>
      <sz val="9.0"/>
      <color rgb="FF000000"/>
      <name val="Arial"/>
    </font>
    <font>
      <b/>
      <sz val="9.0"/>
      <color theme="1"/>
      <name val="Arial"/>
    </font>
    <font>
      <sz val="9.0"/>
      <color rgb="FF000000"/>
      <name val="Arial"/>
    </font>
    <font>
      <b/>
      <sz val="8.0"/>
      <color theme="1"/>
      <name val="Arial"/>
    </font>
    <font>
      <sz val="9.0"/>
      <color rgb="FFC00000"/>
      <name val="Arial"/>
    </font>
    <font>
      <b/>
      <sz val="9.0"/>
      <color rgb="FFC00000"/>
      <name val="Arial"/>
    </font>
    <font>
      <b/>
      <sz val="10.0"/>
      <color rgb="FFFFFFFF"/>
      <name val="Arial"/>
    </font>
    <font>
      <b/>
      <sz val="10.0"/>
      <color rgb="FFC00000"/>
      <name val="Arial"/>
    </font>
    <font>
      <b/>
      <sz val="9.0"/>
      <color rgb="FF375623"/>
      <name val="Arial"/>
    </font>
    <font>
      <sz val="9.0"/>
      <color rgb="FF999999"/>
      <name val="Arial"/>
    </font>
    <font>
      <sz val="9.0"/>
      <color rgb="FFFFFFFF"/>
      <name val="Arial"/>
    </font>
    <font>
      <b/>
      <sz val="10.0"/>
      <color rgb="FF000000"/>
      <name val="Arial"/>
    </font>
    <font>
      <color theme="1"/>
      <name val="Arial"/>
    </font>
    <font>
      <b/>
      <sz val="24.0"/>
      <color theme="1"/>
      <name val="Montserrat"/>
    </font>
    <font>
      <b/>
      <color rgb="FFFFFFFF"/>
      <name val="Montserrat"/>
    </font>
    <font>
      <color theme="1"/>
      <name val="Roboto"/>
    </font>
    <font>
      <b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445E91"/>
        <bgColor rgb="FF445E91"/>
      </patternFill>
    </fill>
    <fill>
      <patternFill patternType="solid">
        <fgColor rgb="FF19337F"/>
        <bgColor rgb="FF19337F"/>
      </patternFill>
    </fill>
    <fill>
      <patternFill patternType="solid">
        <fgColor rgb="FFECECF4"/>
        <bgColor rgb="FFECECF4"/>
      </patternFill>
    </fill>
    <fill>
      <patternFill patternType="solid">
        <fgColor rgb="FF77580B"/>
        <bgColor rgb="FF77580B"/>
      </patternFill>
    </fill>
    <fill>
      <patternFill patternType="solid">
        <fgColor rgb="FF2E75B6"/>
        <bgColor rgb="FF2E75B6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EDE7F6"/>
        <bgColor rgb="FFEDE7F6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C6EFCE"/>
        <bgColor rgb="FFC6EFCE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E1F5EE"/>
        <bgColor rgb="FFE1F5EE"/>
      </patternFill>
    </fill>
    <fill>
      <patternFill patternType="solid">
        <fgColor rgb="FF3E5F90"/>
        <bgColor rgb="FF3E5F90"/>
      </patternFill>
    </fill>
    <fill>
      <patternFill patternType="solid">
        <fgColor rgb="FFF8F8FF"/>
        <bgColor rgb="FFF8F8FF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</fills>
  <borders count="10">
    <border/>
    <border>
      <left style="medium">
        <color rgb="FF999999"/>
      </left>
      <top style="medium">
        <color rgb="FF999999"/>
      </top>
    </border>
    <border>
      <top style="medium">
        <color rgb="FF999999"/>
      </top>
    </border>
    <border>
      <right style="medium">
        <color rgb="FF999999"/>
      </right>
      <top style="medium">
        <color rgb="FF999999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999999"/>
      </left>
      <top style="medium">
        <color rgb="FF999999"/>
      </top>
      <bottom style="medium">
        <color rgb="FF999999"/>
      </bottom>
    </border>
    <border>
      <top style="medium">
        <color rgb="FF999999"/>
      </top>
      <bottom style="medium">
        <color rgb="FF999999"/>
      </bottom>
    </border>
    <border>
      <right style="medium">
        <color rgb="FF999999"/>
      </right>
      <top style="medium">
        <color rgb="FF999999"/>
      </top>
      <bottom style="medium">
        <color rgb="FF999999"/>
      </bottom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</border>
    <border>
      <right/>
      <top style="medium">
        <color rgb="FF999999"/>
      </top>
      <bottom style="medium">
        <color rgb="FF999999"/>
      </bottom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0" fillId="0" fontId="3" numFmtId="0" xfId="0" applyAlignment="1" applyFont="1">
      <alignment vertical="center"/>
    </xf>
    <xf borderId="3" fillId="0" fontId="2" numFmtId="0" xfId="0" applyBorder="1" applyFont="1"/>
    <xf borderId="0" fillId="3" fontId="4" numFmtId="0" xfId="0" applyAlignment="1" applyFill="1" applyFont="1">
      <alignment horizontal="center" vertical="center"/>
    </xf>
    <xf borderId="4" fillId="4" fontId="5" numFmtId="0" xfId="0" applyBorder="1" applyFill="1" applyFont="1"/>
    <xf borderId="0" fillId="0" fontId="6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165" xfId="0" applyAlignment="1" applyFont="1" applyNumberFormat="1">
      <alignment readingOrder="0"/>
    </xf>
    <xf borderId="0" fillId="0" fontId="6" numFmtId="166" xfId="0" applyAlignment="1" applyFont="1" applyNumberFormat="1">
      <alignment readingOrder="0"/>
    </xf>
    <xf borderId="4" fillId="0" fontId="6" numFmtId="0" xfId="0" applyBorder="1" applyFont="1"/>
    <xf borderId="0" fillId="0" fontId="7" numFmtId="0" xfId="0" applyAlignment="1" applyFont="1">
      <alignment readingOrder="0"/>
    </xf>
    <xf borderId="4" fillId="0" fontId="6" numFmtId="167" xfId="0" applyBorder="1" applyFont="1" applyNumberFormat="1"/>
    <xf borderId="0" fillId="5" fontId="8" numFmtId="0" xfId="0" applyAlignment="1" applyFill="1" applyFont="1">
      <alignment vertical="bottom"/>
    </xf>
    <xf borderId="0" fillId="0" fontId="9" numFmtId="0" xfId="0" applyAlignment="1" applyFont="1">
      <alignment readingOrder="0"/>
    </xf>
    <xf borderId="0" fillId="5" fontId="8" numFmtId="165" xfId="0" applyAlignment="1" applyFill="1" applyFont="1" applyNumberFormat="1">
      <alignment horizontal="right" readingOrder="0" vertical="bottom"/>
    </xf>
    <xf borderId="4" fillId="0" fontId="6" numFmtId="0" xfId="0" applyAlignment="1" applyBorder="1" applyFont="1">
      <alignment readingOrder="0"/>
    </xf>
    <xf borderId="0" fillId="5" fontId="8" numFmtId="166" xfId="0" applyAlignment="1" applyFill="1" applyFont="1" applyNumberFormat="1">
      <alignment horizontal="right" vertical="bottom"/>
    </xf>
    <xf borderId="0" fillId="0" fontId="8" numFmtId="0" xfId="0" applyAlignment="1" applyFont="1">
      <alignment vertical="bottom"/>
    </xf>
    <xf borderId="4" fillId="0" fontId="6" numFmtId="167" xfId="0" applyAlignment="1" applyBorder="1" applyFont="1" applyNumberFormat="1">
      <alignment readingOrder="0"/>
    </xf>
    <xf borderId="5" fillId="2" fontId="10" numFmtId="0" xfId="0" applyAlignment="1" applyBorder="1" applyFill="1" applyFont="1">
      <alignment horizontal="center" vertical="center"/>
    </xf>
    <xf borderId="0" fillId="0" fontId="6" numFmtId="0" xfId="0" applyAlignment="1" applyFont="1">
      <alignment readingOrder="0"/>
    </xf>
    <xf borderId="6" fillId="0" fontId="2" numFmtId="0" xfId="0" applyBorder="1" applyFont="1"/>
    <xf borderId="0" fillId="6" fontId="9" numFmtId="0" xfId="0" applyFill="1" applyFont="1"/>
    <xf borderId="0" fillId="0" fontId="6" numFmtId="0" xfId="0" applyFont="1"/>
    <xf borderId="0" fillId="0" fontId="11" numFmtId="0" xfId="0" applyAlignment="1" applyFont="1">
      <alignment readingOrder="0"/>
    </xf>
    <xf borderId="7" fillId="0" fontId="2" numFmtId="0" xfId="0" applyBorder="1" applyFont="1"/>
    <xf borderId="0" fillId="0" fontId="11" numFmtId="10" xfId="0" applyAlignment="1" applyFont="1" applyNumberFormat="1">
      <alignment readingOrder="0"/>
    </xf>
    <xf borderId="0" fillId="0" fontId="11" numFmtId="167" xfId="0" applyAlignment="1" applyFont="1" applyNumberFormat="1">
      <alignment readingOrder="0"/>
    </xf>
    <xf borderId="0" fillId="0" fontId="11" numFmtId="168" xfId="0" applyAlignment="1" applyFont="1" applyNumberFormat="1">
      <alignment readingOrder="0"/>
    </xf>
    <xf borderId="5" fillId="7" fontId="12" numFmtId="0" xfId="0" applyAlignment="1" applyBorder="1" applyFill="1" applyFont="1">
      <alignment horizontal="center" vertical="center"/>
    </xf>
    <xf borderId="0" fillId="0" fontId="6" numFmtId="167" xfId="0" applyFont="1" applyNumberFormat="1"/>
    <xf borderId="8" fillId="2" fontId="12" numFmtId="0" xfId="0" applyAlignment="1" applyBorder="1" applyFill="1" applyFont="1">
      <alignment horizontal="center" shrinkToFit="0" vertical="center" wrapText="1"/>
    </xf>
    <xf borderId="8" fillId="8" fontId="13" numFmtId="49" xfId="0" applyAlignment="1" applyBorder="1" applyFill="1" applyFont="1" applyNumberFormat="1">
      <alignment horizontal="left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8" fillId="8" fontId="15" numFmtId="169" xfId="0" applyAlignment="1" applyBorder="1" applyFill="1" applyFont="1" applyNumberFormat="1">
      <alignment horizontal="right" readingOrder="0" vertical="center"/>
    </xf>
    <xf borderId="8" fillId="8" fontId="15" numFmtId="49" xfId="0" applyAlignment="1" applyBorder="1" applyFill="1" applyFont="1" applyNumberFormat="1">
      <alignment horizontal="center" vertical="center"/>
    </xf>
    <xf borderId="8" fillId="8" fontId="15" numFmtId="3" xfId="0" applyAlignment="1" applyBorder="1" applyFill="1" applyFont="1" applyNumberFormat="1">
      <alignment horizontal="center" vertical="center"/>
    </xf>
    <xf borderId="8" fillId="8" fontId="15" numFmtId="169" xfId="0" applyAlignment="1" applyBorder="1" applyFill="1" applyFont="1" applyNumberFormat="1">
      <alignment horizontal="right" vertical="center"/>
    </xf>
    <xf borderId="8" fillId="8" fontId="15" numFmtId="49" xfId="0" applyAlignment="1" applyBorder="1" applyFill="1" applyFont="1" applyNumberFormat="1">
      <alignment horizontal="left" vertical="center"/>
    </xf>
    <xf borderId="0" fillId="0" fontId="16" numFmtId="0" xfId="0" applyAlignment="1" applyFont="1">
      <alignment horizontal="center" readingOrder="0" shrinkToFit="0" vertical="center" wrapText="1"/>
    </xf>
    <xf borderId="8" fillId="9" fontId="13" numFmtId="49" xfId="0" applyAlignment="1" applyBorder="1" applyFill="1" applyFont="1" applyNumberFormat="1">
      <alignment horizontal="left" shrinkToFit="0" vertical="center" wrapText="1"/>
    </xf>
    <xf borderId="0" fillId="0" fontId="11" numFmtId="10" xfId="0" applyFont="1" applyNumberFormat="1"/>
    <xf borderId="8" fillId="9" fontId="15" numFmtId="169" xfId="0" applyAlignment="1" applyBorder="1" applyFill="1" applyFont="1" applyNumberFormat="1">
      <alignment horizontal="right" vertical="center"/>
    </xf>
    <xf borderId="8" fillId="9" fontId="15" numFmtId="49" xfId="0" applyAlignment="1" applyBorder="1" applyFill="1" applyFont="1" applyNumberFormat="1">
      <alignment horizontal="center" vertical="center"/>
    </xf>
    <xf borderId="0" fillId="0" fontId="6" numFmtId="165" xfId="0" applyFont="1" applyNumberFormat="1"/>
    <xf borderId="0" fillId="0" fontId="11" numFmtId="0" xfId="0" applyFont="1"/>
    <xf borderId="8" fillId="9" fontId="15" numFmtId="3" xfId="0" applyAlignment="1" applyBorder="1" applyFill="1" applyFont="1" applyNumberFormat="1">
      <alignment horizontal="center" vertical="center"/>
    </xf>
    <xf borderId="8" fillId="9" fontId="15" numFmtId="49" xfId="0" applyAlignment="1" applyBorder="1" applyFill="1" applyFont="1" applyNumberFormat="1">
      <alignment horizontal="left" vertical="center"/>
    </xf>
    <xf borderId="0" fillId="0" fontId="11" numFmtId="167" xfId="0" applyFont="1" applyNumberFormat="1"/>
    <xf borderId="0" fillId="0" fontId="11" numFmtId="168" xfId="0" applyFont="1" applyNumberFormat="1"/>
    <xf borderId="8" fillId="8" fontId="17" numFmtId="169" xfId="0" applyAlignment="1" applyBorder="1" applyFill="1" applyFont="1" applyNumberFormat="1">
      <alignment horizontal="right" vertical="center"/>
    </xf>
    <xf borderId="8" fillId="10" fontId="13" numFmtId="49" xfId="0" applyAlignment="1" applyBorder="1" applyFill="1" applyFont="1" applyNumberFormat="1">
      <alignment horizontal="left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8" fillId="10" fontId="15" numFmtId="169" xfId="0" applyAlignment="1" applyBorder="1" applyFill="1" applyFont="1" applyNumberFormat="1">
      <alignment horizontal="right" vertical="center"/>
    </xf>
    <xf borderId="8" fillId="10" fontId="15" numFmtId="49" xfId="0" applyAlignment="1" applyBorder="1" applyFill="1" applyFont="1" applyNumberFormat="1">
      <alignment horizontal="center" vertical="center"/>
    </xf>
    <xf borderId="8" fillId="10" fontId="15" numFmtId="3" xfId="0" applyAlignment="1" applyBorder="1" applyFill="1" applyFont="1" applyNumberFormat="1">
      <alignment horizontal="center" vertical="center"/>
    </xf>
    <xf borderId="8" fillId="10" fontId="15" numFmtId="49" xfId="0" applyAlignment="1" applyBorder="1" applyFill="1" applyFont="1" applyNumberFormat="1">
      <alignment horizontal="left" vertical="center"/>
    </xf>
    <xf borderId="8" fillId="11" fontId="13" numFmtId="49" xfId="0" applyAlignment="1" applyBorder="1" applyFill="1" applyFont="1" applyNumberFormat="1">
      <alignment shrinkToFit="0" vertical="center" wrapText="0"/>
    </xf>
    <xf borderId="8" fillId="12" fontId="13" numFmtId="49" xfId="0" applyAlignment="1" applyBorder="1" applyFill="1" applyFont="1" applyNumberFormat="1">
      <alignment horizontal="left" vertical="center"/>
    </xf>
    <xf borderId="8" fillId="12" fontId="15" numFmtId="169" xfId="0" applyAlignment="1" applyBorder="1" applyFill="1" applyFont="1" applyNumberFormat="1">
      <alignment horizontal="right" vertical="center"/>
    </xf>
    <xf borderId="8" fillId="12" fontId="15" numFmtId="49" xfId="0" applyAlignment="1" applyBorder="1" applyFill="1" applyFont="1" applyNumberFormat="1">
      <alignment horizontal="center" vertical="center"/>
    </xf>
    <xf borderId="8" fillId="12" fontId="15" numFmtId="3" xfId="0" applyAlignment="1" applyBorder="1" applyFill="1" applyFont="1" applyNumberFormat="1">
      <alignment horizontal="center" vertical="center"/>
    </xf>
    <xf borderId="8" fillId="12" fontId="15" numFmtId="49" xfId="0" applyAlignment="1" applyBorder="1" applyFill="1" applyFont="1" applyNumberFormat="1">
      <alignment horizontal="left" vertical="center"/>
    </xf>
    <xf borderId="8" fillId="12" fontId="13" numFmtId="170" xfId="0" applyAlignment="1" applyBorder="1" applyFill="1" applyFont="1" applyNumberFormat="1">
      <alignment readingOrder="0" shrinkToFit="0" vertical="center" wrapText="0"/>
    </xf>
    <xf borderId="8" fillId="12" fontId="13" numFmtId="49" xfId="0" applyAlignment="1" applyBorder="1" applyFill="1" applyFont="1" applyNumberFormat="1">
      <alignment horizontal="left" readingOrder="0" vertical="center"/>
    </xf>
    <xf borderId="8" fillId="12" fontId="15" numFmtId="169" xfId="0" applyAlignment="1" applyBorder="1" applyFill="1" applyFont="1" applyNumberFormat="1">
      <alignment horizontal="right" readingOrder="0" vertical="center"/>
    </xf>
    <xf borderId="8" fillId="11" fontId="18" numFmtId="170" xfId="0" applyAlignment="1" applyBorder="1" applyFill="1" applyFont="1" applyNumberFormat="1">
      <alignment shrinkToFit="0" vertical="center" wrapText="0"/>
    </xf>
    <xf borderId="8" fillId="12" fontId="15" numFmtId="49" xfId="0" applyAlignment="1" applyBorder="1" applyFill="1" applyFont="1" applyNumberFormat="1">
      <alignment horizontal="left" readingOrder="0" vertical="center"/>
    </xf>
    <xf borderId="8" fillId="12" fontId="15" numFmtId="49" xfId="0" applyAlignment="1" applyBorder="1" applyFill="1" applyFont="1" applyNumberFormat="1">
      <alignment horizontal="center" readingOrder="0" vertical="center"/>
    </xf>
    <xf borderId="8" fillId="12" fontId="15" numFmtId="3" xfId="0" applyAlignment="1" applyBorder="1" applyFill="1" applyFont="1" applyNumberFormat="1">
      <alignment horizontal="center" readingOrder="0" vertical="center"/>
    </xf>
    <xf borderId="8" fillId="2" fontId="19" numFmtId="0" xfId="0" applyAlignment="1" applyBorder="1" applyFill="1" applyFont="1">
      <alignment horizontal="left" vertical="center"/>
    </xf>
    <xf borderId="8" fillId="8" fontId="20" numFmtId="169" xfId="0" applyAlignment="1" applyBorder="1" applyFill="1" applyFont="1" applyNumberFormat="1">
      <alignment horizontal="right" vertical="center"/>
    </xf>
    <xf borderId="8" fillId="2" fontId="15" numFmtId="0" xfId="0" applyAlignment="1" applyBorder="1" applyFill="1" applyFont="1">
      <alignment horizontal="center" vertical="center"/>
    </xf>
    <xf borderId="8" fillId="8" fontId="18" numFmtId="170" xfId="0" applyAlignment="1" applyBorder="1" applyFill="1" applyFont="1" applyNumberFormat="1">
      <alignment shrinkToFit="0" vertical="center" wrapText="0"/>
    </xf>
    <xf borderId="8" fillId="11" fontId="15" numFmtId="49" xfId="0" applyAlignment="1" applyBorder="1" applyFill="1" applyFont="1" applyNumberFormat="1">
      <alignment shrinkToFit="0" vertical="center" wrapText="0"/>
    </xf>
    <xf borderId="8" fillId="12" fontId="15" numFmtId="169" xfId="0" applyAlignment="1" applyBorder="1" applyFill="1" applyFont="1" applyNumberFormat="1">
      <alignment readingOrder="0" shrinkToFit="0" vertical="center" wrapText="0"/>
    </xf>
    <xf borderId="8" fillId="11" fontId="15" numFmtId="169" xfId="0" applyAlignment="1" applyBorder="1" applyFill="1" applyFont="1" applyNumberFormat="1">
      <alignment shrinkToFit="0" vertical="center" wrapText="0"/>
    </xf>
    <xf borderId="5" fillId="8" fontId="15" numFmtId="0" xfId="0" applyAlignment="1" applyBorder="1" applyFill="1" applyFont="1">
      <alignment horizontal="left" vertical="center"/>
    </xf>
    <xf borderId="8" fillId="11" fontId="15" numFmtId="169" xfId="0" applyAlignment="1" applyBorder="1" applyFill="1" applyFont="1" applyNumberFormat="1">
      <alignment horizontal="center" shrinkToFit="0" vertical="center" wrapText="0"/>
    </xf>
    <xf borderId="9" fillId="0" fontId="2" numFmtId="0" xfId="0" applyBorder="1" applyFont="1"/>
    <xf borderId="8" fillId="11" fontId="15" numFmtId="169" xfId="0" applyAlignment="1" applyBorder="1" applyFill="1" applyFont="1" applyNumberFormat="1">
      <alignment readingOrder="0" shrinkToFit="0" vertical="center" wrapText="0"/>
    </xf>
    <xf borderId="5" fillId="9" fontId="15" numFmtId="0" xfId="0" applyAlignment="1" applyBorder="1" applyFill="1" applyFont="1">
      <alignment horizontal="left" vertical="center"/>
    </xf>
    <xf borderId="5" fillId="10" fontId="15" numFmtId="0" xfId="0" applyAlignment="1" applyBorder="1" applyFill="1" applyFont="1">
      <alignment horizontal="left" vertical="center"/>
    </xf>
    <xf borderId="5" fillId="12" fontId="15" numFmtId="0" xfId="0" applyAlignment="1" applyBorder="1" applyFill="1" applyFont="1">
      <alignment horizontal="left" vertical="center"/>
    </xf>
    <xf borderId="8" fillId="12" fontId="13" numFmtId="49" xfId="0" applyAlignment="1" applyBorder="1" applyFill="1" applyFont="1" applyNumberFormat="1">
      <alignment shrinkToFit="0" vertical="center" wrapText="0"/>
    </xf>
    <xf borderId="8" fillId="12" fontId="18" numFmtId="170" xfId="0" applyAlignment="1" applyBorder="1" applyFill="1" applyFont="1" applyNumberFormat="1">
      <alignment shrinkToFit="0" vertical="center" wrapText="0"/>
    </xf>
    <xf borderId="8" fillId="12" fontId="21" numFmtId="49" xfId="0" applyAlignment="1" applyBorder="1" applyFill="1" applyFont="1" applyNumberFormat="1">
      <alignment shrinkToFit="0" vertical="center" wrapText="0"/>
    </xf>
    <xf borderId="8" fillId="12" fontId="15" numFmtId="169" xfId="0" applyAlignment="1" applyBorder="1" applyFill="1" applyFont="1" applyNumberFormat="1">
      <alignment shrinkToFit="0" vertical="center" wrapText="0"/>
    </xf>
    <xf borderId="8" fillId="12" fontId="15" numFmtId="169" xfId="0" applyAlignment="1" applyBorder="1" applyFill="1" applyFont="1" applyNumberFormat="1">
      <alignment horizontal="center" shrinkToFit="0" vertical="center" wrapText="0"/>
    </xf>
    <xf borderId="8" fillId="13" fontId="21" numFmtId="169" xfId="0" applyAlignment="1" applyBorder="1" applyFill="1" applyFont="1" applyNumberFormat="1">
      <alignment horizontal="center" shrinkToFit="0" vertical="center" wrapText="0"/>
    </xf>
    <xf borderId="8" fillId="11" fontId="13" numFmtId="170" xfId="0" applyAlignment="1" applyBorder="1" applyFill="1" applyFont="1" applyNumberFormat="1">
      <alignment readingOrder="0" shrinkToFit="0" vertical="center" wrapText="0"/>
    </xf>
    <xf borderId="8" fillId="14" fontId="22" numFmtId="169" xfId="0" applyAlignment="1" applyBorder="1" applyFill="1" applyFont="1" applyNumberFormat="1">
      <alignment horizontal="center" shrinkToFit="0" vertical="center" wrapText="0"/>
    </xf>
    <xf borderId="8" fillId="15" fontId="13" numFmtId="49" xfId="0" applyAlignment="1" applyBorder="1" applyFill="1" applyFont="1" applyNumberFormat="1">
      <alignment shrinkToFit="0" vertical="center" wrapText="0"/>
    </xf>
    <xf borderId="8" fillId="15" fontId="13" numFmtId="170" xfId="0" applyAlignment="1" applyBorder="1" applyFill="1" applyFont="1" applyNumberFormat="1">
      <alignment readingOrder="0" shrinkToFit="0" vertical="center" wrapText="0"/>
    </xf>
    <xf borderId="5" fillId="2" fontId="1" numFmtId="0" xfId="0" applyAlignment="1" applyBorder="1" applyFill="1" applyFont="1">
      <alignment horizontal="center" vertical="center"/>
    </xf>
    <xf borderId="8" fillId="15" fontId="18" numFmtId="170" xfId="0" applyAlignment="1" applyBorder="1" applyFill="1" applyFont="1" applyNumberFormat="1">
      <alignment shrinkToFit="0" vertical="center" wrapText="0"/>
    </xf>
    <xf borderId="5" fillId="7" fontId="23" numFmtId="0" xfId="0" applyAlignment="1" applyBorder="1" applyFill="1" applyFont="1">
      <alignment horizontal="center" vertical="center"/>
    </xf>
    <xf borderId="0" fillId="16" fontId="6" numFmtId="0" xfId="0" applyAlignment="1" applyFill="1" applyFont="1">
      <alignment horizontal="right" readingOrder="0"/>
    </xf>
    <xf borderId="8" fillId="8" fontId="24" numFmtId="0" xfId="0" applyAlignment="1" applyBorder="1" applyFill="1" applyFont="1">
      <alignment horizontal="center" vertical="center"/>
    </xf>
    <xf borderId="0" fillId="16" fontId="6" numFmtId="0" xfId="0" applyAlignment="1" applyFill="1" applyFont="1">
      <alignment readingOrder="0"/>
    </xf>
    <xf borderId="8" fillId="8" fontId="13" numFmtId="0" xfId="0" applyAlignment="1" applyBorder="1" applyFill="1" applyFont="1">
      <alignment horizontal="left" vertical="center"/>
    </xf>
    <xf borderId="0" fillId="0" fontId="6" numFmtId="171" xfId="0" applyAlignment="1" applyFont="1" applyNumberFormat="1">
      <alignment horizontal="right" readingOrder="0"/>
    </xf>
    <xf borderId="8" fillId="15" fontId="15" numFmtId="0" xfId="0" applyAlignment="1" applyBorder="1" applyFill="1" applyFont="1">
      <alignment horizontal="left" shrinkToFit="0" vertical="center" wrapText="1"/>
    </xf>
    <xf borderId="0" fillId="0" fontId="6" numFmtId="3" xfId="0" applyAlignment="1" applyFont="1" applyNumberFormat="1">
      <alignment readingOrder="0"/>
    </xf>
    <xf borderId="0" fillId="0" fontId="6" numFmtId="171" xfId="0" applyAlignment="1" applyFont="1" applyNumberFormat="1">
      <alignment readingOrder="0"/>
    </xf>
    <xf borderId="8" fillId="17" fontId="24" numFmtId="0" xfId="0" applyAlignment="1" applyBorder="1" applyFill="1" applyFont="1">
      <alignment horizontal="center" vertical="center"/>
    </xf>
    <xf borderId="0" fillId="0" fontId="25" numFmtId="0" xfId="0" applyAlignment="1" applyFont="1">
      <alignment vertical="bottom"/>
    </xf>
    <xf borderId="8" fillId="17" fontId="13" numFmtId="0" xfId="0" applyAlignment="1" applyBorder="1" applyFill="1" applyFont="1">
      <alignment horizontal="left" vertical="center"/>
    </xf>
    <xf borderId="8" fillId="15" fontId="15" numFmtId="49" xfId="0" applyAlignment="1" applyBorder="1" applyFill="1" applyFont="1" applyNumberFormat="1">
      <alignment shrinkToFit="0" vertical="center" wrapText="0"/>
    </xf>
    <xf borderId="0" fillId="0" fontId="6" numFmtId="0" xfId="0" applyAlignment="1" applyFont="1">
      <alignment horizontal="right" readingOrder="0"/>
    </xf>
    <xf borderId="0" fillId="0" fontId="25" numFmtId="172" xfId="0" applyAlignment="1" applyFont="1" applyNumberFormat="1">
      <alignment horizontal="right" vertical="bottom"/>
    </xf>
    <xf borderId="8" fillId="12" fontId="24" numFmtId="0" xfId="0" applyAlignment="1" applyBorder="1" applyFill="1" applyFont="1">
      <alignment horizontal="center" vertical="center"/>
    </xf>
    <xf borderId="8" fillId="15" fontId="15" numFmtId="169" xfId="0" applyAlignment="1" applyBorder="1" applyFill="1" applyFont="1" applyNumberFormat="1">
      <alignment shrinkToFit="0" vertical="center" wrapText="0"/>
    </xf>
    <xf borderId="0" fillId="0" fontId="25" numFmtId="3" xfId="0" applyAlignment="1" applyFont="1" applyNumberFormat="1">
      <alignment horizontal="right" vertical="bottom"/>
    </xf>
    <xf borderId="8" fillId="12" fontId="13" numFmtId="0" xfId="0" applyAlignment="1" applyBorder="1" applyFill="1" applyFont="1">
      <alignment horizontal="left" vertical="center"/>
    </xf>
    <xf borderId="0" fillId="0" fontId="25" numFmtId="0" xfId="0" applyAlignment="1" applyFont="1">
      <alignment horizontal="right" vertical="bottom"/>
    </xf>
    <xf borderId="8" fillId="15" fontId="15" numFmtId="169" xfId="0" applyAlignment="1" applyBorder="1" applyFill="1" applyFont="1" applyNumberFormat="1">
      <alignment horizontal="center" shrinkToFit="0" vertical="center" wrapText="0"/>
    </xf>
    <xf borderId="8" fillId="9" fontId="24" numFmtId="0" xfId="0" applyAlignment="1" applyBorder="1" applyFill="1" applyFont="1">
      <alignment horizontal="center" vertical="center"/>
    </xf>
    <xf borderId="8" fillId="9" fontId="13" numFmtId="0" xfId="0" applyAlignment="1" applyBorder="1" applyFill="1" applyFont="1">
      <alignment horizontal="left" vertical="center"/>
    </xf>
    <xf borderId="8" fillId="10" fontId="24" numFmtId="0" xfId="0" applyAlignment="1" applyBorder="1" applyFill="1" applyFont="1">
      <alignment horizontal="center" vertical="center"/>
    </xf>
    <xf borderId="8" fillId="10" fontId="13" numFmtId="0" xfId="0" applyAlignment="1" applyBorder="1" applyFill="1" applyFont="1">
      <alignment horizontal="left" vertical="center"/>
    </xf>
    <xf borderId="8" fillId="18" fontId="24" numFmtId="0" xfId="0" applyAlignment="1" applyBorder="1" applyFill="1" applyFont="1">
      <alignment horizontal="center" vertical="center"/>
    </xf>
    <xf borderId="8" fillId="18" fontId="13" numFmtId="0" xfId="0" applyAlignment="1" applyBorder="1" applyFill="1" applyFont="1">
      <alignment horizontal="left" vertical="center"/>
    </xf>
    <xf borderId="0" fillId="0" fontId="6" numFmtId="0" xfId="0" applyAlignment="1" applyFont="1">
      <alignment horizontal="right"/>
    </xf>
    <xf borderId="0" fillId="0" fontId="25" numFmtId="173" xfId="0" applyAlignment="1" applyFont="1" applyNumberFormat="1">
      <alignment horizontal="right" vertical="bottom"/>
    </xf>
    <xf borderId="5" fillId="2" fontId="19" numFmtId="0" xfId="0" applyAlignment="1" applyBorder="1" applyFill="1" applyFont="1">
      <alignment horizontal="center" vertical="center"/>
    </xf>
    <xf borderId="8" fillId="7" fontId="12" numFmtId="0" xfId="0" applyAlignment="1" applyBorder="1" applyFill="1" applyFont="1">
      <alignment horizontal="center" vertical="center"/>
    </xf>
    <xf borderId="8" fillId="12" fontId="13" numFmtId="0" xfId="0" applyAlignment="1" applyBorder="1" applyFill="1" applyFont="1">
      <alignment horizontal="center" vertical="center"/>
    </xf>
    <xf borderId="0" fillId="0" fontId="25" numFmtId="174" xfId="0" applyAlignment="1" applyFont="1" applyNumberFormat="1">
      <alignment horizontal="right" vertical="bottom"/>
    </xf>
    <xf borderId="8" fillId="12" fontId="15" numFmtId="0" xfId="0" applyAlignment="1" applyBorder="1" applyFill="1" applyFont="1">
      <alignment horizontal="left" vertical="center"/>
    </xf>
    <xf borderId="8" fillId="15" fontId="15" numFmtId="0" xfId="0" applyAlignment="1" applyBorder="1" applyFill="1" applyFont="1">
      <alignment horizontal="left" vertical="center"/>
    </xf>
    <xf borderId="8" fillId="17" fontId="13" numFmtId="0" xfId="0" applyAlignment="1" applyBorder="1" applyFill="1" applyFont="1">
      <alignment horizontal="center" vertical="center"/>
    </xf>
    <xf borderId="0" fillId="0" fontId="25" numFmtId="0" xfId="0" applyAlignment="1" applyFont="1">
      <alignment horizontal="right" readingOrder="0" vertical="bottom"/>
    </xf>
    <xf borderId="8" fillId="17" fontId="15" numFmtId="0" xfId="0" applyAlignment="1" applyBorder="1" applyFill="1" applyFont="1">
      <alignment horizontal="left" vertical="center"/>
    </xf>
    <xf borderId="8" fillId="18" fontId="13" numFmtId="0" xfId="0" applyAlignment="1" applyBorder="1" applyFill="1" applyFont="1">
      <alignment horizontal="center" vertical="center"/>
    </xf>
    <xf borderId="8" fillId="18" fontId="15" numFmtId="0" xfId="0" applyAlignment="1" applyBorder="1" applyFill="1" applyFont="1">
      <alignment horizontal="left" vertical="center"/>
    </xf>
    <xf borderId="0" fillId="0" fontId="26" numFmtId="0" xfId="0" applyAlignment="1" applyFont="1">
      <alignment vertical="bottom"/>
    </xf>
    <xf borderId="8" fillId="9" fontId="13" numFmtId="0" xfId="0" applyAlignment="1" applyBorder="1" applyFill="1" applyFont="1">
      <alignment horizontal="center" vertical="center"/>
    </xf>
    <xf borderId="8" fillId="9" fontId="15" numFmtId="0" xfId="0" applyAlignment="1" applyBorder="1" applyFill="1" applyFont="1">
      <alignment horizontal="left" vertical="center"/>
    </xf>
    <xf borderId="0" fillId="19" fontId="27" numFmtId="0" xfId="0" applyAlignment="1" applyFill="1" applyFont="1">
      <alignment horizontal="center"/>
    </xf>
    <xf borderId="8" fillId="10" fontId="13" numFmtId="0" xfId="0" applyAlignment="1" applyBorder="1" applyFill="1" applyFont="1">
      <alignment horizontal="center" vertical="center"/>
    </xf>
    <xf borderId="8" fillId="10" fontId="15" numFmtId="0" xfId="0" applyAlignment="1" applyBorder="1" applyFill="1" applyFont="1">
      <alignment horizontal="left" vertical="center"/>
    </xf>
    <xf borderId="0" fillId="20" fontId="28" numFmtId="0" xfId="0" applyFill="1" applyFont="1"/>
    <xf borderId="0" fillId="20" fontId="28" numFmtId="165" xfId="0" applyAlignment="1" applyFill="1" applyFont="1" applyNumberFormat="1">
      <alignment horizontal="right"/>
    </xf>
    <xf borderId="0" fillId="20" fontId="28" numFmtId="10" xfId="0" applyAlignment="1" applyFill="1" applyFont="1" applyNumberFormat="1">
      <alignment horizontal="right"/>
    </xf>
    <xf borderId="0" fillId="20" fontId="28" numFmtId="0" xfId="0" applyAlignment="1" applyFill="1" applyFont="1">
      <alignment horizontal="right"/>
    </xf>
    <xf borderId="0" fillId="20" fontId="28" numFmtId="167" xfId="0" applyAlignment="1" applyFill="1" applyFont="1" applyNumberFormat="1">
      <alignment horizontal="right"/>
    </xf>
    <xf borderId="0" fillId="15" fontId="28" numFmtId="0" xfId="0" applyFill="1" applyFont="1"/>
    <xf borderId="0" fillId="15" fontId="28" numFmtId="165" xfId="0" applyAlignment="1" applyFill="1" applyFont="1" applyNumberFormat="1">
      <alignment horizontal="right"/>
    </xf>
    <xf borderId="0" fillId="15" fontId="28" numFmtId="10" xfId="0" applyAlignment="1" applyFill="1" applyFont="1" applyNumberFormat="1">
      <alignment horizontal="right"/>
    </xf>
    <xf borderId="0" fillId="15" fontId="28" numFmtId="0" xfId="0" applyAlignment="1" applyFill="1" applyFont="1">
      <alignment horizontal="right"/>
    </xf>
    <xf borderId="8" fillId="15" fontId="15" numFmtId="170" xfId="0" applyAlignment="1" applyBorder="1" applyFill="1" applyFont="1" applyNumberFormat="1">
      <alignment shrinkToFit="0" vertical="center" wrapText="0"/>
    </xf>
    <xf borderId="0" fillId="15" fontId="28" numFmtId="167" xfId="0" applyAlignment="1" applyFill="1" applyFont="1" applyNumberFormat="1">
      <alignment horizontal="right"/>
    </xf>
    <xf borderId="0" fillId="20" fontId="25" numFmtId="165" xfId="0" applyFill="1" applyFont="1" applyNumberFormat="1"/>
    <xf borderId="0" fillId="20" fontId="25" numFmtId="10" xfId="0" applyFill="1" applyFont="1" applyNumberFormat="1"/>
    <xf borderId="8" fillId="15" fontId="21" numFmtId="170" xfId="0" applyAlignment="1" applyBorder="1" applyFill="1" applyFont="1" applyNumberFormat="1">
      <alignment shrinkToFit="0" vertical="center" wrapText="0"/>
    </xf>
    <xf borderId="0" fillId="20" fontId="25" numFmtId="0" xfId="0" applyFill="1" applyFont="1"/>
    <xf borderId="0" fillId="20" fontId="25" numFmtId="167" xfId="0" applyFill="1" applyFont="1" applyNumberFormat="1"/>
    <xf borderId="0" fillId="15" fontId="25" numFmtId="10" xfId="0" applyFill="1" applyFont="1" applyNumberFormat="1"/>
    <xf borderId="0" fillId="15" fontId="25" numFmtId="0" xfId="0" applyFill="1" applyFont="1"/>
    <xf borderId="0" fillId="15" fontId="25" numFmtId="165" xfId="0" applyFill="1" applyFont="1" applyNumberFormat="1"/>
    <xf borderId="0" fillId="15" fontId="25" numFmtId="167" xfId="0" applyFill="1" applyFont="1" applyNumberFormat="1"/>
    <xf borderId="0" fillId="21" fontId="6" numFmtId="0" xfId="0" applyAlignment="1" applyFill="1" applyFont="1">
      <alignment readingOrder="0"/>
    </xf>
    <xf borderId="0" fillId="22" fontId="6" numFmtId="0" xfId="0" applyAlignment="1" applyFill="1" applyFont="1">
      <alignment readingOrder="0"/>
    </xf>
    <xf borderId="0" fillId="15" fontId="28" numFmtId="0" xfId="0" applyAlignment="1" applyFill="1" applyFont="1">
      <alignment vertical="bottom"/>
    </xf>
    <xf borderId="0" fillId="15" fontId="28" numFmtId="165" xfId="0" applyAlignment="1" applyFill="1" applyFont="1" applyNumberFormat="1">
      <alignment horizontal="right" vertical="bottom"/>
    </xf>
    <xf borderId="0" fillId="21" fontId="6" numFmtId="3" xfId="0" applyAlignment="1" applyFill="1" applyFont="1" applyNumberFormat="1">
      <alignment readingOrder="0"/>
    </xf>
    <xf borderId="0" fillId="15" fontId="28" numFmtId="10" xfId="0" applyAlignment="1" applyFill="1" applyFont="1" applyNumberFormat="1">
      <alignment horizontal="right" vertical="bottom"/>
    </xf>
    <xf borderId="0" fillId="22" fontId="6" numFmtId="0" xfId="0" applyFill="1" applyFont="1"/>
    <xf borderId="0" fillId="22" fontId="6" numFmtId="3" xfId="0" applyAlignment="1" applyFill="1" applyFont="1" applyNumberFormat="1">
      <alignment readingOrder="0"/>
    </xf>
    <xf borderId="0" fillId="0" fontId="6" numFmtId="175" xfId="0" applyAlignment="1" applyFont="1" applyNumberFormat="1">
      <alignment horizontal="right" readingOrder="0"/>
    </xf>
    <xf borderId="0" fillId="15" fontId="28" numFmtId="0" xfId="0" applyAlignment="1" applyFill="1" applyFont="1">
      <alignment horizontal="right" vertical="bottom"/>
    </xf>
    <xf borderId="0" fillId="21" fontId="6" numFmtId="0" xfId="0" applyFill="1" applyFont="1"/>
    <xf borderId="0" fillId="15" fontId="28" numFmtId="167" xfId="0" applyAlignment="1" applyFill="1" applyFont="1" applyNumberFormat="1">
      <alignment horizontal="right" vertical="bottom"/>
    </xf>
    <xf borderId="8" fillId="11" fontId="15" numFmtId="170" xfId="0" applyAlignment="1" applyBorder="1" applyFill="1" applyFont="1" applyNumberFormat="1">
      <alignment shrinkToFit="0" vertical="center" wrapText="0"/>
    </xf>
    <xf borderId="0" fillId="0" fontId="29" numFmtId="0" xfId="0" applyAlignment="1" applyFont="1">
      <alignment vertical="bottom"/>
    </xf>
    <xf borderId="0" fillId="0" fontId="25" numFmtId="167" xfId="0" applyAlignment="1" applyFont="1" applyNumberFormat="1">
      <alignment horizontal="right" vertical="bottom"/>
    </xf>
    <xf borderId="0" fillId="0" fontId="25" numFmtId="0" xfId="0" applyAlignment="1" applyFont="1">
      <alignment horizontal="center"/>
    </xf>
    <xf borderId="8" fillId="11" fontId="21" numFmtId="170" xfId="0" applyAlignment="1" applyBorder="1" applyFill="1" applyFont="1" applyNumberFormat="1">
      <alignment shrinkToFit="0" vertical="center" wrapText="0"/>
    </xf>
    <xf borderId="0" fillId="0" fontId="25" numFmtId="167" xfId="0" applyAlignment="1" applyFont="1" applyNumberFormat="1">
      <alignment vertical="bottom"/>
    </xf>
    <xf borderId="0" fillId="0" fontId="25" numFmtId="3" xfId="0" applyAlignment="1" applyFont="1" applyNumberFormat="1">
      <alignment vertical="bottom"/>
    </xf>
    <xf borderId="8" fillId="12" fontId="15" numFmtId="170" xfId="0" applyAlignment="1" applyBorder="1" applyFill="1" applyFont="1" applyNumberFormat="1">
      <alignment shrinkToFit="0" vertical="center" wrapText="0"/>
    </xf>
    <xf borderId="8" fillId="12" fontId="21" numFmtId="170" xfId="0" applyAlignment="1" applyBorder="1" applyFill="1" applyFont="1" applyNumberFormat="1">
      <alignment shrinkToFit="0" vertical="center" wrapText="0"/>
    </xf>
    <xf borderId="8" fillId="13" fontId="21" numFmtId="169" xfId="0" applyAlignment="1" applyBorder="1" applyFill="1" applyFont="1" applyNumberFormat="1">
      <alignment shrinkToFit="0" vertical="center" wrapText="0"/>
    </xf>
    <xf borderId="8" fillId="14" fontId="22" numFmtId="169" xfId="0" applyAlignment="1" applyBorder="1" applyFill="1" applyFont="1" applyNumberFormat="1">
      <alignment shrinkToFit="0" vertical="center" wrapText="0"/>
    </xf>
    <xf borderId="8" fillId="9" fontId="13" numFmtId="49" xfId="0" applyAlignment="1" applyBorder="1" applyFill="1" applyFont="1" applyNumberFormat="1">
      <alignment shrinkToFit="0" vertical="center" wrapText="1"/>
    </xf>
    <xf borderId="8" fillId="9" fontId="13" numFmtId="170" xfId="0" applyAlignment="1" applyBorder="1" applyFill="1" applyFont="1" applyNumberFormat="1">
      <alignment readingOrder="0" shrinkToFit="0" vertical="center" wrapText="1"/>
    </xf>
    <xf borderId="8" fillId="9" fontId="15" numFmtId="170" xfId="0" applyAlignment="1" applyBorder="1" applyFill="1" applyFont="1" applyNumberFormat="1">
      <alignment shrinkToFit="0" vertical="center" wrapText="0"/>
    </xf>
    <xf borderId="8" fillId="9" fontId="21" numFmtId="170" xfId="0" applyAlignment="1" applyBorder="1" applyFill="1" applyFont="1" applyNumberFormat="1">
      <alignment shrinkToFit="0" vertical="center" wrapText="0"/>
    </xf>
    <xf borderId="8" fillId="9" fontId="21" numFmtId="49" xfId="0" applyAlignment="1" applyBorder="1" applyFill="1" applyFont="1" applyNumberFormat="1">
      <alignment shrinkToFit="0" vertical="center" wrapText="0"/>
    </xf>
    <xf borderId="8" fillId="9" fontId="15" numFmtId="169" xfId="0" applyAlignment="1" applyBorder="1" applyFill="1" applyFont="1" applyNumberFormat="1">
      <alignment shrinkToFit="0" vertical="center" wrapText="0"/>
    </xf>
    <xf borderId="8" fillId="17" fontId="13" numFmtId="49" xfId="0" applyAlignment="1" applyBorder="1" applyFill="1" applyFont="1" applyNumberFormat="1">
      <alignment shrinkToFit="0" vertical="center" wrapText="0"/>
    </xf>
    <xf borderId="8" fillId="17" fontId="13" numFmtId="170" xfId="0" applyAlignment="1" applyBorder="1" applyFill="1" applyFont="1" applyNumberFormat="1">
      <alignment readingOrder="0" shrinkToFit="0" vertical="center" wrapText="0"/>
    </xf>
    <xf borderId="8" fillId="17" fontId="15" numFmtId="170" xfId="0" applyAlignment="1" applyBorder="1" applyFill="1" applyFont="1" applyNumberFormat="1">
      <alignment shrinkToFit="0" vertical="center" wrapText="0"/>
    </xf>
    <xf borderId="8" fillId="17" fontId="21" numFmtId="170" xfId="0" applyAlignment="1" applyBorder="1" applyFill="1" applyFont="1" applyNumberFormat="1">
      <alignment shrinkToFit="0" vertical="center" wrapText="0"/>
    </xf>
    <xf borderId="8" fillId="17" fontId="21" numFmtId="49" xfId="0" applyAlignment="1" applyBorder="1" applyFill="1" applyFont="1" applyNumberFormat="1">
      <alignment shrinkToFit="0" vertical="center" wrapText="0"/>
    </xf>
    <xf borderId="8" fillId="17" fontId="15" numFmtId="169" xfId="0" applyAlignment="1" applyBorder="1" applyFill="1" applyFont="1" applyNumberFormat="1">
      <alignment shrinkToFit="0" vertical="center" wrapText="0"/>
    </xf>
    <xf borderId="8" fillId="11" fontId="21" numFmtId="49" xfId="0" applyAlignment="1" applyBorder="1" applyFill="1" applyFont="1" applyNumberFormat="1">
      <alignment shrinkToFit="0" vertical="center" wrapText="0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ECECF4"/>
          <bgColor rgb="FFECECF4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77580B"/>
          <bgColor rgb="FF77580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7F1"/>
          <bgColor rgb="FFFFF7F1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3E5F90"/>
          <bgColor rgb="FF3E5F90"/>
        </patternFill>
      </fill>
      <border/>
    </dxf>
  </dxfs>
  <tableStyles count="4">
    <tableStyle count="2" pivot="0" name="June 2026 Expenses-style">
      <tableStyleElement dxfId="1" type="firstRowStripe"/>
      <tableStyleElement dxfId="2" type="secondRowStripe"/>
    </tableStyle>
    <tableStyle count="3" pivot="0" name="Gold Loan-style">
      <tableStyleElement dxfId="4" type="headerRow"/>
      <tableStyleElement dxfId="7" type="firstRowStripe"/>
      <tableStyleElement dxfId="5" type="secondRowStripe"/>
    </tableStyle>
    <tableStyle count="4" pivot="0" name="Monthly View-style">
      <tableStyleElement dxfId="3" type="headerRow"/>
      <tableStyleElement dxfId="5" type="firstRowStripe"/>
      <tableStyleElement dxfId="6" type="secondRowStripe"/>
      <tableStyleElement dxfId="8" size="0" type="wholeTable"/>
    </tableStyle>
    <tableStyle count="3" pivot="0" name="General-style">
      <tableStyleElement dxfId="9" type="headerRow"/>
      <tableStyleElement dxfId="1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X59" displayName="Table1" name="Table1" id="3">
  <tableColumns count="23">
    <tableColumn name="Month" id="1"/>
    <tableColumn name="Income" id="2"/>
    <tableColumn name="Total EMI" id="3"/>
    <tableColumn name="Expenses" id="4"/>
    <tableColumn name="Free Cash" id="5"/>
    <tableColumn name="Events" id="6"/>
    <tableColumn name="SMFG Personal_x000a_(Naresh)" id="7"/>
    <tableColumn name="SBI Personal_x000a_(SivaPriya)" id="8"/>
    <tableColumn name="Equitas Home_x000a_(Appa)" id="9"/>
    <tableColumn name="Credit Card" id="10"/>
    <tableColumn name="TVS Excel_x000a_(Appa)" id="11"/>
    <tableColumn name="DIO Loan" id="12"/>
    <tableColumn name="Samasta 1" id="13"/>
    <tableColumn name="Samasta 2" id="14"/>
    <tableColumn name="Samasta 3" id="15"/>
    <tableColumn name="Samasta 4" id="16"/>
    <tableColumn name="ESAF 1" id="17"/>
    <tableColumn name="ESAF 2" id="18"/>
    <tableColumn name="ESAF 3" id="19"/>
    <tableColumn name="Aasirvad 1" id="20"/>
    <tableColumn name="Aasirvad 1 2" id="21"/>
    <tableColumn name="Other Loan" id="22"/>
    <tableColumn name="EMI" id="23"/>
  </tableColumns>
  <tableStyleInfo name="Monthly View-style" showColumnStripes="0" showFirstColumn="1" showLastColumn="1" showRowStripes="1"/>
</table>
</file>

<file path=xl/tables/table2.xml><?xml version="1.0" encoding="utf-8"?>
<table xmlns="http://schemas.openxmlformats.org/spreadsheetml/2006/main" headerRowCount="0" ref="A4:D100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June 2026 Expenses-style" showColumnStripes="0" showFirstColumn="1" showLastColumn="1" showRowStripes="1"/>
</table>
</file>

<file path=xl/tables/table3.xml><?xml version="1.0" encoding="utf-8"?>
<table xmlns="http://schemas.openxmlformats.org/spreadsheetml/2006/main" ref="B4:G96" displayName="Table_2" name="Table_2" id="2">
  <tableColumns count="6">
    <tableColumn name="Gram" id="1"/>
    <tableColumn name="Interest in Bank" id="2"/>
    <tableColumn name="Bank Name" id="3"/>
    <tableColumn name="Account Holder" id="4"/>
    <tableColumn name="Loan Amount" id="5"/>
    <tableColumn name="Date of Kept" id="6"/>
  </tableColumns>
  <tableStyleInfo name="Gold Loan-style" showColumnStripes="0" showFirstColumn="1" showLastColumn="1" showRowStripes="1"/>
</table>
</file>

<file path=xl/tables/table4.xml><?xml version="1.0" encoding="utf-8"?>
<table xmlns="http://schemas.openxmlformats.org/spreadsheetml/2006/main" ref="A45:J52" displayName="Table_3" name="Table_3" id="4">
  <tableColumns count="10">
    <tableColumn name="Loan Name" id="1"/>
    <tableColumn name="Principal Amount" id="2"/>
    <tableColumn name="Interest Rate (%)" id="3"/>
    <tableColumn name="EMI" id="4"/>
    <tableColumn name="Total EMIs" id="5"/>
    <tableColumn name="EMIs Paid" id="6"/>
    <tableColumn name="Remaining EMIs" id="7"/>
    <tableColumn name="Total Paid" id="8"/>
    <tableColumn name="Remaining Balance" id="9"/>
    <tableColumn name="Total Interest" id="10"/>
  </tableColumns>
  <tableStyleInfo name="Gener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3.14"/>
    <col customWidth="1" min="3" max="3" width="28.14"/>
    <col customWidth="1" min="4" max="4" width="27.57"/>
    <col customWidth="1" min="5" max="5" width="14.0"/>
    <col customWidth="1" min="6" max="6" width="12.0"/>
    <col customWidth="1" min="7" max="7" width="18.0"/>
    <col customWidth="1" min="8" max="8" width="34.43"/>
    <col customWidth="1" min="9" max="26" width="8.71"/>
  </cols>
  <sheetData>
    <row r="1" ht="30.0" customHeight="1">
      <c r="B1" s="1" t="s">
        <v>0</v>
      </c>
      <c r="C1" s="2"/>
      <c r="D1" s="2"/>
      <c r="E1" s="2"/>
      <c r="F1" s="2"/>
      <c r="G1" s="2"/>
      <c r="H1" s="4"/>
    </row>
    <row r="2" ht="36.0" customHeight="1">
      <c r="B2" s="6" t="s">
        <v>3</v>
      </c>
      <c r="C2" s="6" t="s">
        <v>7</v>
      </c>
    </row>
    <row r="3">
      <c r="B3" s="11" t="s">
        <v>9</v>
      </c>
      <c r="C3" s="13">
        <v>70000.0</v>
      </c>
    </row>
    <row r="4">
      <c r="B4" s="17" t="s">
        <v>15</v>
      </c>
      <c r="C4" s="20">
        <v>40000.0</v>
      </c>
    </row>
    <row r="5" ht="51.75" customHeight="1">
      <c r="B5" s="22" t="s">
        <v>23</v>
      </c>
      <c r="C5" s="32">
        <f t="array" ref="C5">SUM(INDIRECT("C3:C"&amp;ROW()-1))</f>
        <v>110000</v>
      </c>
    </row>
    <row r="6" ht="43.5" customHeight="1"/>
    <row r="7" ht="21.75" customHeight="1">
      <c r="B7" s="33" t="s">
        <v>42</v>
      </c>
      <c r="C7" s="33" t="s">
        <v>44</v>
      </c>
      <c r="D7" s="33" t="s">
        <v>4</v>
      </c>
      <c r="E7" s="33" t="s">
        <v>47</v>
      </c>
      <c r="F7" s="33" t="s">
        <v>48</v>
      </c>
      <c r="G7" s="33" t="s">
        <v>50</v>
      </c>
      <c r="H7" s="33" t="s">
        <v>6</v>
      </c>
    </row>
    <row r="8" ht="21.75" customHeight="1">
      <c r="B8" s="34" t="s">
        <v>52</v>
      </c>
      <c r="C8" s="36" t="s">
        <v>56</v>
      </c>
      <c r="D8" s="37" t="s">
        <v>61</v>
      </c>
      <c r="E8" s="37" t="s">
        <v>64</v>
      </c>
      <c r="F8" s="38">
        <v>59.0</v>
      </c>
      <c r="G8" s="39">
        <v>1563146.0</v>
      </c>
      <c r="H8" s="40" t="s">
        <v>73</v>
      </c>
    </row>
    <row r="9" ht="21.75" customHeight="1">
      <c r="B9" s="34" t="s">
        <v>75</v>
      </c>
      <c r="C9" s="39">
        <v>11839.0</v>
      </c>
      <c r="D9" s="37" t="s">
        <v>61</v>
      </c>
      <c r="E9" s="37" t="s">
        <v>78</v>
      </c>
      <c r="F9" s="38">
        <v>20.0</v>
      </c>
      <c r="G9" s="39">
        <v>236780.0</v>
      </c>
      <c r="H9" s="40" t="s">
        <v>80</v>
      </c>
    </row>
    <row r="10" ht="21.75" customHeight="1">
      <c r="B10" s="42" t="s">
        <v>82</v>
      </c>
      <c r="C10" s="44">
        <v>15250.0</v>
      </c>
      <c r="D10" s="45" t="s">
        <v>88</v>
      </c>
      <c r="E10" s="45" t="s">
        <v>90</v>
      </c>
      <c r="F10" s="48">
        <v>55.0</v>
      </c>
      <c r="G10" s="44">
        <v>838750.0</v>
      </c>
      <c r="H10" s="49" t="s">
        <v>95</v>
      </c>
    </row>
    <row r="11" ht="21.75" customHeight="1">
      <c r="B11" s="34" t="s">
        <v>84</v>
      </c>
      <c r="C11" s="52">
        <v>18972.0</v>
      </c>
      <c r="D11" s="37" t="s">
        <v>84</v>
      </c>
      <c r="E11" s="37" t="s">
        <v>98</v>
      </c>
      <c r="F11" s="38">
        <v>5.0</v>
      </c>
      <c r="G11" s="39">
        <v>94860.0</v>
      </c>
      <c r="H11" s="40" t="s">
        <v>100</v>
      </c>
    </row>
    <row r="12" ht="21.75" customHeight="1">
      <c r="B12" s="53" t="s">
        <v>87</v>
      </c>
      <c r="C12" s="55">
        <v>5087.0</v>
      </c>
      <c r="D12" s="56" t="s">
        <v>104</v>
      </c>
      <c r="E12" s="56" t="s">
        <v>106</v>
      </c>
      <c r="F12" s="57">
        <v>14.0</v>
      </c>
      <c r="G12" s="55">
        <v>71218.0</v>
      </c>
      <c r="H12" s="58" t="s">
        <v>108</v>
      </c>
    </row>
    <row r="13" ht="21.75" customHeight="1">
      <c r="B13" s="53" t="s">
        <v>89</v>
      </c>
      <c r="C13" s="55">
        <v>5638.0</v>
      </c>
      <c r="D13" s="56" t="s">
        <v>104</v>
      </c>
      <c r="E13" s="56" t="s">
        <v>106</v>
      </c>
      <c r="F13" s="57">
        <v>14.0</v>
      </c>
      <c r="G13" s="55">
        <v>78932.0</v>
      </c>
      <c r="H13" s="58" t="s">
        <v>108</v>
      </c>
    </row>
    <row r="14" ht="21.75" customHeight="1">
      <c r="B14" s="60" t="s">
        <v>91</v>
      </c>
      <c r="C14" s="61">
        <v>3150.0</v>
      </c>
      <c r="D14" s="62" t="s">
        <v>110</v>
      </c>
      <c r="E14" s="62" t="s">
        <v>111</v>
      </c>
      <c r="F14" s="63">
        <v>10.0</v>
      </c>
      <c r="G14" s="61">
        <v>31500.0</v>
      </c>
      <c r="H14" s="64" t="s">
        <v>112</v>
      </c>
    </row>
    <row r="15" ht="21.75" customHeight="1">
      <c r="B15" s="60" t="s">
        <v>93</v>
      </c>
      <c r="C15" s="61">
        <v>2650.0</v>
      </c>
      <c r="D15" s="62" t="s">
        <v>110</v>
      </c>
      <c r="E15" s="62" t="s">
        <v>113</v>
      </c>
      <c r="F15" s="63">
        <v>2.0</v>
      </c>
      <c r="G15" s="61">
        <v>5300.0</v>
      </c>
      <c r="H15" s="64" t="s">
        <v>114</v>
      </c>
    </row>
    <row r="16" ht="21.75" customHeight="1">
      <c r="B16" s="60" t="s">
        <v>94</v>
      </c>
      <c r="C16" s="61">
        <v>2600.0</v>
      </c>
      <c r="D16" s="62" t="s">
        <v>110</v>
      </c>
      <c r="E16" s="62" t="s">
        <v>115</v>
      </c>
      <c r="F16" s="63">
        <v>22.0</v>
      </c>
      <c r="G16" s="61">
        <v>57200.0</v>
      </c>
      <c r="H16" s="64" t="s">
        <v>112</v>
      </c>
    </row>
    <row r="17" ht="21.75" customHeight="1">
      <c r="B17" s="60" t="s">
        <v>96</v>
      </c>
      <c r="C17" s="61">
        <v>2680.0</v>
      </c>
      <c r="D17" s="62" t="s">
        <v>110</v>
      </c>
      <c r="E17" s="62" t="s">
        <v>116</v>
      </c>
      <c r="F17" s="63">
        <v>23.0</v>
      </c>
      <c r="G17" s="61">
        <v>61640.0</v>
      </c>
      <c r="H17" s="64" t="s">
        <v>112</v>
      </c>
    </row>
    <row r="18" ht="21.75" customHeight="1">
      <c r="B18" s="60" t="s">
        <v>97</v>
      </c>
      <c r="C18" s="61">
        <v>5390.0</v>
      </c>
      <c r="D18" s="62" t="s">
        <v>110</v>
      </c>
      <c r="E18" s="62" t="s">
        <v>78</v>
      </c>
      <c r="F18" s="63">
        <v>20.0</v>
      </c>
      <c r="G18" s="61">
        <v>107800.0</v>
      </c>
      <c r="H18" s="64" t="s">
        <v>117</v>
      </c>
    </row>
    <row r="19" ht="21.75" customHeight="1">
      <c r="B19" s="60" t="s">
        <v>99</v>
      </c>
      <c r="C19" s="61">
        <v>3235.0</v>
      </c>
      <c r="D19" s="62" t="s">
        <v>110</v>
      </c>
      <c r="E19" s="62" t="s">
        <v>118</v>
      </c>
      <c r="F19" s="63">
        <v>17.0</v>
      </c>
      <c r="G19" s="61">
        <v>54995.0</v>
      </c>
      <c r="H19" s="64" t="s">
        <v>117</v>
      </c>
    </row>
    <row r="20" ht="21.75" customHeight="1">
      <c r="B20" s="60" t="s">
        <v>101</v>
      </c>
      <c r="C20" s="61">
        <v>1230.0</v>
      </c>
      <c r="D20" s="62" t="s">
        <v>110</v>
      </c>
      <c r="E20" s="62" t="s">
        <v>119</v>
      </c>
      <c r="F20" s="63">
        <v>9.0</v>
      </c>
      <c r="G20" s="61">
        <v>11070.0</v>
      </c>
      <c r="H20" s="64" t="s">
        <v>117</v>
      </c>
    </row>
    <row r="21" ht="21.75" customHeight="1">
      <c r="B21" s="66" t="s">
        <v>102</v>
      </c>
      <c r="C21" s="67">
        <v>2970.0</v>
      </c>
      <c r="D21" s="62" t="s">
        <v>110</v>
      </c>
      <c r="E21" s="62" t="s">
        <v>120</v>
      </c>
      <c r="F21" s="63">
        <v>25.0</v>
      </c>
      <c r="G21" s="61">
        <v>148000.0</v>
      </c>
      <c r="H21" s="69" t="s">
        <v>121</v>
      </c>
    </row>
    <row r="22" ht="21.75" customHeight="1">
      <c r="B22" s="66" t="s">
        <v>122</v>
      </c>
      <c r="C22" s="67">
        <v>2970.0</v>
      </c>
      <c r="D22" s="62" t="s">
        <v>110</v>
      </c>
      <c r="E22" s="62" t="s">
        <v>120</v>
      </c>
      <c r="F22" s="63">
        <v>25.0</v>
      </c>
      <c r="G22" s="61">
        <v>148000.0</v>
      </c>
      <c r="H22" s="69" t="s">
        <v>121</v>
      </c>
    </row>
    <row r="23" ht="21.75" customHeight="1">
      <c r="B23" s="60" t="s">
        <v>105</v>
      </c>
      <c r="C23" s="61">
        <v>5000.0</v>
      </c>
      <c r="D23" s="62" t="s">
        <v>110</v>
      </c>
      <c r="E23" s="62" t="s">
        <v>123</v>
      </c>
      <c r="F23" s="63">
        <v>31.0</v>
      </c>
      <c r="G23" s="61">
        <v>155000.0</v>
      </c>
      <c r="H23" s="64" t="s">
        <v>124</v>
      </c>
    </row>
    <row r="24" ht="21.75" customHeight="1">
      <c r="B24" s="66" t="s">
        <v>125</v>
      </c>
      <c r="C24" s="67">
        <v>1740.0</v>
      </c>
      <c r="D24" s="70" t="s">
        <v>125</v>
      </c>
      <c r="E24" s="70" t="s">
        <v>126</v>
      </c>
      <c r="F24" s="71">
        <v>6.0</v>
      </c>
      <c r="G24" s="67">
        <v>12590.0</v>
      </c>
      <c r="H24" s="69" t="s">
        <v>127</v>
      </c>
    </row>
    <row r="25" ht="21.75" customHeight="1">
      <c r="B25" s="72" t="s">
        <v>128</v>
      </c>
      <c r="C25" s="73">
        <f>SUM(C8:C24)</f>
        <v>90401</v>
      </c>
      <c r="D25" s="74"/>
      <c r="E25" s="74"/>
      <c r="F25" s="74"/>
      <c r="G25" s="74"/>
      <c r="H25" s="74"/>
    </row>
    <row r="26" ht="19.5" customHeight="1">
      <c r="B26" s="72" t="s">
        <v>129</v>
      </c>
      <c r="C26" s="73">
        <f>C5-C25</f>
        <v>19599</v>
      </c>
      <c r="D26" s="74"/>
      <c r="E26" s="74"/>
      <c r="F26" s="74"/>
      <c r="G26" s="74"/>
      <c r="H26" s="74"/>
    </row>
    <row r="27" ht="15.75" customHeight="1"/>
    <row r="28" ht="15.75" customHeight="1">
      <c r="B28" s="31" t="s">
        <v>130</v>
      </c>
      <c r="C28" s="23"/>
      <c r="D28" s="23"/>
      <c r="E28" s="23"/>
      <c r="F28" s="23"/>
      <c r="G28" s="23"/>
      <c r="H28" s="27"/>
    </row>
    <row r="29" ht="15.75" customHeight="1">
      <c r="B29" s="79" t="s">
        <v>131</v>
      </c>
      <c r="C29" s="23"/>
      <c r="D29" s="23"/>
      <c r="E29" s="23"/>
      <c r="F29" s="23"/>
      <c r="G29" s="23"/>
      <c r="H29" s="81"/>
    </row>
    <row r="30" ht="15.75" customHeight="1">
      <c r="B30" s="79" t="s">
        <v>132</v>
      </c>
      <c r="C30" s="23"/>
      <c r="D30" s="23"/>
      <c r="E30" s="23"/>
      <c r="F30" s="23"/>
      <c r="G30" s="23"/>
      <c r="H30" s="81"/>
    </row>
    <row r="31" ht="15.75" customHeight="1">
      <c r="B31" s="83" t="s">
        <v>133</v>
      </c>
      <c r="C31" s="23"/>
      <c r="D31" s="23"/>
      <c r="E31" s="23"/>
      <c r="F31" s="23"/>
      <c r="G31" s="23"/>
      <c r="H31" s="81"/>
    </row>
    <row r="32" ht="15.75" customHeight="1">
      <c r="B32" s="84" t="s">
        <v>134</v>
      </c>
      <c r="C32" s="23"/>
      <c r="D32" s="23"/>
      <c r="E32" s="23"/>
      <c r="F32" s="23"/>
      <c r="G32" s="23"/>
      <c r="H32" s="81"/>
    </row>
    <row r="33" ht="15.75" customHeight="1">
      <c r="B33" s="85" t="s">
        <v>135</v>
      </c>
      <c r="C33" s="23"/>
      <c r="D33" s="23"/>
      <c r="E33" s="23"/>
      <c r="F33" s="23"/>
      <c r="G33" s="23"/>
      <c r="H33" s="81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7">
    <mergeCell ref="B1:H1"/>
    <mergeCell ref="B28:H28"/>
    <mergeCell ref="B29:H29"/>
    <mergeCell ref="B30:H30"/>
    <mergeCell ref="B31:H31"/>
    <mergeCell ref="B32:H32"/>
    <mergeCell ref="B33:H3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.0"/>
    <col customWidth="1" min="2" max="2" width="14.14"/>
    <col customWidth="1" min="3" max="3" width="13.57"/>
    <col customWidth="1" min="4" max="5" width="19.86"/>
    <col customWidth="1" min="6" max="6" width="14.14"/>
    <col customWidth="1" min="7" max="7" width="61.71"/>
    <col customWidth="1" min="8" max="9" width="14.71"/>
    <col customWidth="1" min="10" max="10" width="14.86"/>
    <col customWidth="1" min="11" max="11" width="11.0"/>
    <col customWidth="1" min="12" max="12" width="14.86"/>
    <col customWidth="1" min="13" max="13" width="13.57"/>
    <col customWidth="1" min="14" max="14" width="14.0"/>
    <col customWidth="1" min="15" max="15" width="11.0"/>
    <col customWidth="1" min="16" max="20" width="14.0"/>
    <col customWidth="1" min="21" max="22" width="14.71"/>
    <col customWidth="1" min="23" max="24" width="14.0"/>
    <col customWidth="1" min="25" max="29" width="8.71"/>
  </cols>
  <sheetData>
    <row r="1" ht="27.75" customHeight="1">
      <c r="B1" s="21" t="s">
        <v>16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7"/>
    </row>
    <row r="2" ht="15.75" customHeight="1">
      <c r="B2" s="31" t="s">
        <v>33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7"/>
    </row>
    <row r="3" ht="7.5" customHeight="1"/>
    <row r="4" ht="36.0" customHeight="1">
      <c r="B4" s="35" t="s">
        <v>2</v>
      </c>
      <c r="C4" s="35" t="s">
        <v>57</v>
      </c>
      <c r="D4" s="35" t="s">
        <v>62</v>
      </c>
      <c r="E4" s="35" t="s">
        <v>65</v>
      </c>
      <c r="F4" s="35" t="s">
        <v>68</v>
      </c>
      <c r="G4" s="35" t="s">
        <v>72</v>
      </c>
      <c r="H4" s="41" t="s">
        <v>52</v>
      </c>
      <c r="I4" s="41" t="s">
        <v>75</v>
      </c>
      <c r="J4" s="41" t="s">
        <v>82</v>
      </c>
      <c r="K4" s="41" t="s">
        <v>84</v>
      </c>
      <c r="L4" s="41" t="s">
        <v>87</v>
      </c>
      <c r="M4" s="41" t="s">
        <v>89</v>
      </c>
      <c r="N4" s="41" t="s">
        <v>91</v>
      </c>
      <c r="O4" s="41" t="s">
        <v>93</v>
      </c>
      <c r="P4" s="41" t="s">
        <v>94</v>
      </c>
      <c r="Q4" s="41" t="s">
        <v>96</v>
      </c>
      <c r="R4" s="41" t="s">
        <v>97</v>
      </c>
      <c r="S4" s="41" t="s">
        <v>99</v>
      </c>
      <c r="T4" s="41" t="s">
        <v>101</v>
      </c>
      <c r="U4" s="54" t="s">
        <v>102</v>
      </c>
      <c r="V4" s="54" t="s">
        <v>103</v>
      </c>
      <c r="W4" s="41" t="s">
        <v>105</v>
      </c>
      <c r="X4" s="41" t="s">
        <v>107</v>
      </c>
    </row>
    <row r="5" ht="22.5" customHeight="1">
      <c r="B5" s="59" t="s">
        <v>109</v>
      </c>
      <c r="C5" s="65">
        <f>Loans!$C$5</f>
        <v>110000</v>
      </c>
      <c r="D5" s="68">
        <f t="shared" ref="D5:D59" si="1">SUM(H5:X5)</f>
        <v>93336</v>
      </c>
      <c r="E5" s="68">
        <f>IF(B5="","",SUMIFS('June 2026 Expenses'!C:C, 'June 2026 Expenses'!A:A, "&gt;="&amp;DATEVALUE(B5), 'June 2026 Expenses'!A:A, "&lt;="&amp;EOMONTH(DATEVALUE(B5), 0)))</f>
        <v>134263</v>
      </c>
      <c r="F5" s="75">
        <f t="shared" ref="F5:F59" si="2">C5-D5-E5</f>
        <v>-117599</v>
      </c>
      <c r="G5" s="76"/>
      <c r="H5" s="77">
        <v>0.0</v>
      </c>
      <c r="I5" s="78">
        <v>11839.0</v>
      </c>
      <c r="J5" s="78">
        <v>15250.0</v>
      </c>
      <c r="K5" s="80">
        <v>18972.0</v>
      </c>
      <c r="L5" s="82">
        <v>4500.0</v>
      </c>
      <c r="M5" s="82">
        <v>5000.0</v>
      </c>
      <c r="N5" s="78">
        <v>3150.0</v>
      </c>
      <c r="O5" s="80">
        <v>2650.0</v>
      </c>
      <c r="P5" s="78">
        <v>2600.0</v>
      </c>
      <c r="Q5" s="78">
        <v>2680.0</v>
      </c>
      <c r="R5" s="78">
        <v>5390.0</v>
      </c>
      <c r="S5" s="78">
        <v>3235.0</v>
      </c>
      <c r="T5" s="78">
        <v>1230.0</v>
      </c>
      <c r="U5" s="78">
        <v>5920.0</v>
      </c>
      <c r="V5" s="78">
        <v>5920.0</v>
      </c>
      <c r="W5" s="78">
        <v>5000.0</v>
      </c>
      <c r="X5" s="82">
        <v>0.0</v>
      </c>
    </row>
    <row r="6" ht="22.5" customHeight="1">
      <c r="B6" s="86" t="s">
        <v>113</v>
      </c>
      <c r="C6" s="65">
        <f>Loans!$C$5</f>
        <v>110000</v>
      </c>
      <c r="D6" s="87">
        <f t="shared" si="1"/>
        <v>121570</v>
      </c>
      <c r="E6" s="87">
        <f>IF(B6="","",SUMIFS('June 2026 Expenses'!C:C, 'June 2026 Expenses'!A:A, "&gt;="&amp;DATEVALUE(B6), 'June 2026 Expenses'!A:A, "&lt;="&amp;EOMONTH(DATEVALUE(B6), 0)))</f>
        <v>0</v>
      </c>
      <c r="F6" s="75">
        <f t="shared" si="2"/>
        <v>-11570</v>
      </c>
      <c r="G6" s="88" t="s">
        <v>136</v>
      </c>
      <c r="H6" s="89">
        <v>26494.0</v>
      </c>
      <c r="I6" s="89">
        <v>11839.0</v>
      </c>
      <c r="J6" s="89">
        <v>15250.0</v>
      </c>
      <c r="K6" s="90">
        <v>18972.0</v>
      </c>
      <c r="L6" s="82">
        <v>4500.0</v>
      </c>
      <c r="M6" s="82">
        <v>5000.0</v>
      </c>
      <c r="N6" s="89">
        <v>3150.0</v>
      </c>
      <c r="O6" s="91">
        <v>2650.0</v>
      </c>
      <c r="P6" s="89">
        <v>2600.0</v>
      </c>
      <c r="Q6" s="89">
        <v>2680.0</v>
      </c>
      <c r="R6" s="89">
        <v>5390.0</v>
      </c>
      <c r="S6" s="89">
        <v>3235.0</v>
      </c>
      <c r="T6" s="89">
        <v>1230.0</v>
      </c>
      <c r="U6" s="89">
        <v>5920.0</v>
      </c>
      <c r="V6" s="89">
        <v>5920.0</v>
      </c>
      <c r="W6" s="89">
        <v>5000.0</v>
      </c>
      <c r="X6" s="77">
        <v>1740.0</v>
      </c>
    </row>
    <row r="7" ht="22.5" customHeight="1">
      <c r="B7" s="59" t="s">
        <v>137</v>
      </c>
      <c r="C7" s="92">
        <f>Loans!$C$5</f>
        <v>110000</v>
      </c>
      <c r="D7" s="68">
        <f t="shared" si="1"/>
        <v>118920</v>
      </c>
      <c r="E7" s="68">
        <f>IF(B7="","",SUMIFS('June 2026 Expenses'!C:C, 'June 2026 Expenses'!A:A, "&gt;="&amp;DATEVALUE(B7), 'June 2026 Expenses'!A:A, "&lt;="&amp;EOMONTH(DATEVALUE(B7), 0)))</f>
        <v>0</v>
      </c>
      <c r="F7" s="75">
        <f t="shared" si="2"/>
        <v>-8920</v>
      </c>
      <c r="G7" s="76"/>
      <c r="H7" s="78">
        <v>26494.0</v>
      </c>
      <c r="I7" s="78">
        <v>11839.0</v>
      </c>
      <c r="J7" s="78">
        <v>15250.0</v>
      </c>
      <c r="K7" s="80">
        <v>18972.0</v>
      </c>
      <c r="L7" s="82">
        <v>4500.0</v>
      </c>
      <c r="M7" s="82">
        <v>5000.0</v>
      </c>
      <c r="N7" s="78">
        <v>3150.0</v>
      </c>
      <c r="O7" s="93"/>
      <c r="P7" s="78">
        <v>2600.0</v>
      </c>
      <c r="Q7" s="78">
        <v>2680.0</v>
      </c>
      <c r="R7" s="78">
        <v>5390.0</v>
      </c>
      <c r="S7" s="78">
        <v>3235.0</v>
      </c>
      <c r="T7" s="78">
        <v>1230.0</v>
      </c>
      <c r="U7" s="78">
        <v>5920.0</v>
      </c>
      <c r="V7" s="78">
        <v>5920.0</v>
      </c>
      <c r="W7" s="78">
        <v>5000.0</v>
      </c>
      <c r="X7" s="77">
        <v>1740.0</v>
      </c>
    </row>
    <row r="8" ht="22.5" customHeight="1">
      <c r="B8" s="94" t="s">
        <v>138</v>
      </c>
      <c r="C8" s="95">
        <f>Loans!$C$5</f>
        <v>110000</v>
      </c>
      <c r="D8" s="97">
        <f t="shared" si="1"/>
        <v>118920</v>
      </c>
      <c r="E8" s="97">
        <f>IF(B8="","",SUMIFS('June 2026 Expenses'!C:C, 'June 2026 Expenses'!A:A, "&gt;="&amp;DATEVALUE(B8), 'June 2026 Expenses'!A:A, "&lt;="&amp;EOMONTH(DATEVALUE(B8), 0)))</f>
        <v>0</v>
      </c>
      <c r="F8" s="75">
        <f t="shared" si="2"/>
        <v>-8920</v>
      </c>
      <c r="G8" s="110"/>
      <c r="H8" s="114">
        <v>26494.0</v>
      </c>
      <c r="I8" s="114">
        <v>11839.0</v>
      </c>
      <c r="J8" s="114">
        <v>15250.0</v>
      </c>
      <c r="K8" s="118">
        <v>18972.0</v>
      </c>
      <c r="L8" s="82">
        <v>4500.0</v>
      </c>
      <c r="M8" s="82">
        <v>5000.0</v>
      </c>
      <c r="N8" s="114">
        <v>3150.0</v>
      </c>
      <c r="O8" s="93"/>
      <c r="P8" s="114">
        <v>2600.0</v>
      </c>
      <c r="Q8" s="114">
        <v>2680.0</v>
      </c>
      <c r="R8" s="114">
        <v>5390.0</v>
      </c>
      <c r="S8" s="114">
        <v>3235.0</v>
      </c>
      <c r="T8" s="114">
        <v>1230.0</v>
      </c>
      <c r="U8" s="114">
        <v>5920.0</v>
      </c>
      <c r="V8" s="114">
        <v>5920.0</v>
      </c>
      <c r="W8" s="114">
        <v>5000.0</v>
      </c>
      <c r="X8" s="77">
        <v>1740.0</v>
      </c>
    </row>
    <row r="9" ht="22.5" customHeight="1">
      <c r="B9" s="86" t="s">
        <v>98</v>
      </c>
      <c r="C9" s="65">
        <f>Loans!$C$5</f>
        <v>110000</v>
      </c>
      <c r="D9" s="87">
        <f t="shared" si="1"/>
        <v>118920</v>
      </c>
      <c r="E9" s="87">
        <f>IF(B9="","",SUMIFS('June 2026 Expenses'!C:C, 'June 2026 Expenses'!A:A, "&gt;="&amp;DATEVALUE(B9), 'June 2026 Expenses'!A:A, "&lt;="&amp;EOMONTH(DATEVALUE(B9), 0)))</f>
        <v>0</v>
      </c>
      <c r="F9" s="75">
        <f t="shared" si="2"/>
        <v>-8920</v>
      </c>
      <c r="G9" s="88" t="s">
        <v>302</v>
      </c>
      <c r="H9" s="89">
        <v>26494.0</v>
      </c>
      <c r="I9" s="89">
        <v>11839.0</v>
      </c>
      <c r="J9" s="89">
        <v>15250.0</v>
      </c>
      <c r="K9" s="91">
        <v>18972.0</v>
      </c>
      <c r="L9" s="82">
        <v>4500.0</v>
      </c>
      <c r="M9" s="82">
        <v>5000.0</v>
      </c>
      <c r="N9" s="89">
        <v>3150.0</v>
      </c>
      <c r="O9" s="93"/>
      <c r="P9" s="89">
        <v>2600.0</v>
      </c>
      <c r="Q9" s="89">
        <v>2680.0</v>
      </c>
      <c r="R9" s="89">
        <v>5390.0</v>
      </c>
      <c r="S9" s="89">
        <v>3235.0</v>
      </c>
      <c r="T9" s="89">
        <v>1230.0</v>
      </c>
      <c r="U9" s="89">
        <v>5920.0</v>
      </c>
      <c r="V9" s="89">
        <v>5920.0</v>
      </c>
      <c r="W9" s="89">
        <v>5000.0</v>
      </c>
      <c r="X9" s="77">
        <v>1740.0</v>
      </c>
    </row>
    <row r="10" ht="22.5" customHeight="1">
      <c r="B10" s="94" t="s">
        <v>264</v>
      </c>
      <c r="C10" s="95">
        <f>Loans!$C$5</f>
        <v>110000</v>
      </c>
      <c r="D10" s="153">
        <f t="shared" si="1"/>
        <v>99948</v>
      </c>
      <c r="E10" s="153">
        <f>IF(B10="","",SUMIFS('June 2026 Expenses'!C:C, 'June 2026 Expenses'!A:A, "&gt;="&amp;DATEVALUE(B10), 'June 2026 Expenses'!A:A, "&lt;="&amp;EOMONTH(DATEVALUE(B10), 0)))</f>
        <v>0</v>
      </c>
      <c r="F10" s="157">
        <f t="shared" si="2"/>
        <v>10052</v>
      </c>
      <c r="G10" s="110"/>
      <c r="H10" s="114">
        <v>26494.0</v>
      </c>
      <c r="I10" s="114">
        <v>11839.0</v>
      </c>
      <c r="J10" s="114">
        <v>15250.0</v>
      </c>
      <c r="K10" s="93"/>
      <c r="L10" s="82">
        <v>4500.0</v>
      </c>
      <c r="M10" s="82">
        <v>5000.0</v>
      </c>
      <c r="N10" s="114">
        <v>3150.0</v>
      </c>
      <c r="O10" s="93"/>
      <c r="P10" s="114">
        <v>2600.0</v>
      </c>
      <c r="Q10" s="114">
        <v>2680.0</v>
      </c>
      <c r="R10" s="114">
        <v>5390.0</v>
      </c>
      <c r="S10" s="114">
        <v>3235.0</v>
      </c>
      <c r="T10" s="114">
        <v>1230.0</v>
      </c>
      <c r="U10" s="114">
        <v>5920.0</v>
      </c>
      <c r="V10" s="114">
        <v>5920.0</v>
      </c>
      <c r="W10" s="114">
        <v>5000.0</v>
      </c>
      <c r="X10" s="77">
        <v>1740.0</v>
      </c>
    </row>
    <row r="11" ht="22.5" customHeight="1">
      <c r="B11" s="59" t="s">
        <v>312</v>
      </c>
      <c r="C11" s="92">
        <f>Loans!$C$5</f>
        <v>110000</v>
      </c>
      <c r="D11" s="176">
        <f t="shared" si="1"/>
        <v>99948</v>
      </c>
      <c r="E11" s="176">
        <f>IF(B11="","",SUMIFS('June 2026 Expenses'!C:C, 'June 2026 Expenses'!A:A, "&gt;="&amp;DATEVALUE(B11), 'June 2026 Expenses'!A:A, "&lt;="&amp;EOMONTH(DATEVALUE(B11), 0)))</f>
        <v>0</v>
      </c>
      <c r="F11" s="180">
        <f t="shared" si="2"/>
        <v>10052</v>
      </c>
      <c r="G11" s="76"/>
      <c r="H11" s="78">
        <v>26494.0</v>
      </c>
      <c r="I11" s="78">
        <v>11839.0</v>
      </c>
      <c r="J11" s="78">
        <v>15250.0</v>
      </c>
      <c r="K11" s="93"/>
      <c r="L11" s="82">
        <v>4500.0</v>
      </c>
      <c r="M11" s="82">
        <v>5000.0</v>
      </c>
      <c r="N11" s="78">
        <v>3150.0</v>
      </c>
      <c r="O11" s="93"/>
      <c r="P11" s="78">
        <v>2600.0</v>
      </c>
      <c r="Q11" s="78">
        <v>2680.0</v>
      </c>
      <c r="R11" s="78">
        <v>5390.0</v>
      </c>
      <c r="S11" s="78">
        <v>3235.0</v>
      </c>
      <c r="T11" s="78">
        <v>1230.0</v>
      </c>
      <c r="U11" s="78">
        <v>5920.0</v>
      </c>
      <c r="V11" s="78">
        <v>5920.0</v>
      </c>
      <c r="W11" s="78">
        <v>5000.0</v>
      </c>
      <c r="X11" s="77">
        <v>1740.0</v>
      </c>
    </row>
    <row r="12" ht="22.5" customHeight="1">
      <c r="B12" s="94" t="s">
        <v>268</v>
      </c>
      <c r="C12" s="95">
        <f>Loans!$C$5</f>
        <v>110000</v>
      </c>
      <c r="D12" s="153">
        <f t="shared" si="1"/>
        <v>98208</v>
      </c>
      <c r="E12" s="153">
        <f>IF(B12="","",SUMIFS('June 2026 Expenses'!C:C, 'June 2026 Expenses'!A:A, "&gt;="&amp;DATEVALUE(B12), 'June 2026 Expenses'!A:A, "&lt;="&amp;EOMONTH(DATEVALUE(B12), 0)))</f>
        <v>0</v>
      </c>
      <c r="F12" s="157">
        <f t="shared" si="2"/>
        <v>11792</v>
      </c>
      <c r="G12" s="110"/>
      <c r="H12" s="114">
        <v>26494.0</v>
      </c>
      <c r="I12" s="114">
        <v>11839.0</v>
      </c>
      <c r="J12" s="114">
        <v>15250.0</v>
      </c>
      <c r="K12" s="93"/>
      <c r="L12" s="82">
        <v>4500.0</v>
      </c>
      <c r="M12" s="82">
        <v>5000.0</v>
      </c>
      <c r="N12" s="114">
        <v>3150.0</v>
      </c>
      <c r="O12" s="93"/>
      <c r="P12" s="114">
        <v>2600.0</v>
      </c>
      <c r="Q12" s="114">
        <v>2680.0</v>
      </c>
      <c r="R12" s="114">
        <v>5390.0</v>
      </c>
      <c r="S12" s="114">
        <v>3235.0</v>
      </c>
      <c r="T12" s="114">
        <v>1230.0</v>
      </c>
      <c r="U12" s="114">
        <v>5920.0</v>
      </c>
      <c r="V12" s="114">
        <v>5920.0</v>
      </c>
      <c r="W12" s="114">
        <v>5000.0</v>
      </c>
      <c r="X12" s="114"/>
    </row>
    <row r="13" ht="22.5" customHeight="1">
      <c r="B13" s="86" t="s">
        <v>119</v>
      </c>
      <c r="C13" s="65">
        <f>Loans!$C$5</f>
        <v>110000</v>
      </c>
      <c r="D13" s="183">
        <f t="shared" si="1"/>
        <v>98208</v>
      </c>
      <c r="E13" s="183">
        <f>IF(B13="","",SUMIFS('June 2026 Expenses'!C:C, 'June 2026 Expenses'!A:A, "&gt;="&amp;DATEVALUE(B13), 'June 2026 Expenses'!A:A, "&lt;="&amp;EOMONTH(DATEVALUE(B13), 0)))</f>
        <v>0</v>
      </c>
      <c r="F13" s="184">
        <f t="shared" si="2"/>
        <v>11792</v>
      </c>
      <c r="G13" s="88" t="s">
        <v>346</v>
      </c>
      <c r="H13" s="89">
        <v>26494.0</v>
      </c>
      <c r="I13" s="89">
        <v>11839.0</v>
      </c>
      <c r="J13" s="89">
        <v>15250.0</v>
      </c>
      <c r="K13" s="93"/>
      <c r="L13" s="82">
        <v>4500.0</v>
      </c>
      <c r="M13" s="82">
        <v>5000.0</v>
      </c>
      <c r="N13" s="89">
        <v>3150.0</v>
      </c>
      <c r="O13" s="93"/>
      <c r="P13" s="89">
        <v>2600.0</v>
      </c>
      <c r="Q13" s="89">
        <v>2680.0</v>
      </c>
      <c r="R13" s="89">
        <v>5390.0</v>
      </c>
      <c r="S13" s="89">
        <v>3235.0</v>
      </c>
      <c r="T13" s="185">
        <v>1230.0</v>
      </c>
      <c r="U13" s="89">
        <v>5920.0</v>
      </c>
      <c r="V13" s="89">
        <v>5920.0</v>
      </c>
      <c r="W13" s="89">
        <v>5000.0</v>
      </c>
      <c r="X13" s="114"/>
    </row>
    <row r="14" ht="22.5" customHeight="1">
      <c r="B14" s="86" t="s">
        <v>111</v>
      </c>
      <c r="C14" s="65">
        <f>Loans!$C$5</f>
        <v>110000</v>
      </c>
      <c r="D14" s="183">
        <f t="shared" si="1"/>
        <v>96978</v>
      </c>
      <c r="E14" s="183">
        <f>IF(B14="","",SUMIFS('June 2026 Expenses'!C:C, 'June 2026 Expenses'!A:A, "&gt;="&amp;DATEVALUE(B14), 'June 2026 Expenses'!A:A, "&lt;="&amp;EOMONTH(DATEVALUE(B14), 0)))</f>
        <v>0</v>
      </c>
      <c r="F14" s="184">
        <f t="shared" si="2"/>
        <v>13022</v>
      </c>
      <c r="G14" s="88" t="s">
        <v>347</v>
      </c>
      <c r="H14" s="89">
        <v>26494.0</v>
      </c>
      <c r="I14" s="89">
        <v>11839.0</v>
      </c>
      <c r="J14" s="89">
        <v>15250.0</v>
      </c>
      <c r="K14" s="93"/>
      <c r="L14" s="82">
        <v>4500.0</v>
      </c>
      <c r="M14" s="82">
        <v>5000.0</v>
      </c>
      <c r="N14" s="185">
        <v>3150.0</v>
      </c>
      <c r="O14" s="93"/>
      <c r="P14" s="89">
        <v>2600.0</v>
      </c>
      <c r="Q14" s="89">
        <v>2680.0</v>
      </c>
      <c r="R14" s="89">
        <v>5390.0</v>
      </c>
      <c r="S14" s="89">
        <v>3235.0</v>
      </c>
      <c r="T14" s="186"/>
      <c r="U14" s="89">
        <v>5920.0</v>
      </c>
      <c r="V14" s="89">
        <v>5920.0</v>
      </c>
      <c r="W14" s="89">
        <v>5000.0</v>
      </c>
      <c r="X14" s="114"/>
    </row>
    <row r="15" ht="22.5" customHeight="1">
      <c r="B15" s="59" t="s">
        <v>348</v>
      </c>
      <c r="C15" s="92">
        <f>Loans!$C$5</f>
        <v>110000</v>
      </c>
      <c r="D15" s="176">
        <f t="shared" si="1"/>
        <v>93828</v>
      </c>
      <c r="E15" s="176">
        <f>IF(B15="","",SUMIFS('June 2026 Expenses'!C:C, 'June 2026 Expenses'!A:A, "&gt;="&amp;DATEVALUE(B15), 'June 2026 Expenses'!A:A, "&lt;="&amp;EOMONTH(DATEVALUE(B15), 0)))</f>
        <v>0</v>
      </c>
      <c r="F15" s="180">
        <f t="shared" si="2"/>
        <v>16172</v>
      </c>
      <c r="G15" s="76"/>
      <c r="H15" s="78">
        <v>26494.0</v>
      </c>
      <c r="I15" s="78">
        <v>11839.0</v>
      </c>
      <c r="J15" s="78">
        <v>15250.0</v>
      </c>
      <c r="K15" s="93"/>
      <c r="L15" s="82">
        <v>4500.0</v>
      </c>
      <c r="M15" s="82">
        <v>5000.0</v>
      </c>
      <c r="N15" s="186"/>
      <c r="O15" s="93"/>
      <c r="P15" s="78">
        <v>2600.0</v>
      </c>
      <c r="Q15" s="78">
        <v>2680.0</v>
      </c>
      <c r="R15" s="78">
        <v>5390.0</v>
      </c>
      <c r="S15" s="78">
        <v>3235.0</v>
      </c>
      <c r="T15" s="186"/>
      <c r="U15" s="78">
        <v>5920.0</v>
      </c>
      <c r="V15" s="78">
        <v>5920.0</v>
      </c>
      <c r="W15" s="78">
        <v>5000.0</v>
      </c>
      <c r="X15" s="114"/>
    </row>
    <row r="16" ht="22.5" customHeight="1">
      <c r="B16" s="94" t="s">
        <v>349</v>
      </c>
      <c r="C16" s="95">
        <f>Loans!$C$5</f>
        <v>110000</v>
      </c>
      <c r="D16" s="153">
        <f t="shared" si="1"/>
        <v>93828</v>
      </c>
      <c r="E16" s="153">
        <f>IF(B16="","",SUMIFS('June 2026 Expenses'!C:C, 'June 2026 Expenses'!A:A, "&gt;="&amp;DATEVALUE(B16), 'June 2026 Expenses'!A:A, "&lt;="&amp;EOMONTH(DATEVALUE(B16), 0)))</f>
        <v>0</v>
      </c>
      <c r="F16" s="157">
        <f t="shared" si="2"/>
        <v>16172</v>
      </c>
      <c r="G16" s="110"/>
      <c r="H16" s="114">
        <v>26494.0</v>
      </c>
      <c r="I16" s="114">
        <v>11839.0</v>
      </c>
      <c r="J16" s="114">
        <v>15250.0</v>
      </c>
      <c r="K16" s="93"/>
      <c r="L16" s="82">
        <v>4500.0</v>
      </c>
      <c r="M16" s="82">
        <v>5000.0</v>
      </c>
      <c r="N16" s="186"/>
      <c r="O16" s="93"/>
      <c r="P16" s="114">
        <v>2600.0</v>
      </c>
      <c r="Q16" s="114">
        <v>2680.0</v>
      </c>
      <c r="R16" s="114">
        <v>5390.0</v>
      </c>
      <c r="S16" s="114">
        <v>3235.0</v>
      </c>
      <c r="T16" s="186"/>
      <c r="U16" s="114">
        <v>5920.0</v>
      </c>
      <c r="V16" s="114">
        <v>5920.0</v>
      </c>
      <c r="W16" s="114">
        <v>5000.0</v>
      </c>
      <c r="X16" s="114"/>
    </row>
    <row r="17" ht="22.5" customHeight="1">
      <c r="B17" s="187" t="s">
        <v>277</v>
      </c>
      <c r="C17" s="188">
        <f>Loans!$C$5</f>
        <v>110000</v>
      </c>
      <c r="D17" s="189">
        <f t="shared" si="1"/>
        <v>93828</v>
      </c>
      <c r="E17" s="189">
        <f>IF(B17="","",SUMIFS('June 2026 Expenses'!C:C, 'June 2026 Expenses'!A:A, "&gt;="&amp;DATEVALUE(B17), 'June 2026 Expenses'!A:A, "&lt;="&amp;EOMONTH(DATEVALUE(B17), 0)))</f>
        <v>0</v>
      </c>
      <c r="F17" s="190">
        <f t="shared" si="2"/>
        <v>16172</v>
      </c>
      <c r="G17" s="191" t="s">
        <v>350</v>
      </c>
      <c r="H17" s="192">
        <v>26494.0</v>
      </c>
      <c r="I17" s="192">
        <v>11839.0</v>
      </c>
      <c r="J17" s="192">
        <v>15250.0</v>
      </c>
      <c r="K17" s="93"/>
      <c r="L17" s="82">
        <v>4500.0</v>
      </c>
      <c r="M17" s="82">
        <v>5000.0</v>
      </c>
      <c r="N17" s="186"/>
      <c r="O17" s="93"/>
      <c r="P17" s="192">
        <v>2600.0</v>
      </c>
      <c r="Q17" s="192">
        <v>2680.0</v>
      </c>
      <c r="R17" s="192">
        <v>5390.0</v>
      </c>
      <c r="S17" s="192">
        <v>3235.0</v>
      </c>
      <c r="T17" s="186"/>
      <c r="U17" s="192">
        <v>5920.0</v>
      </c>
      <c r="V17" s="192">
        <v>5920.0</v>
      </c>
      <c r="W17" s="192">
        <v>5000.0</v>
      </c>
      <c r="X17" s="114"/>
    </row>
    <row r="18" ht="22.5" customHeight="1">
      <c r="B18" s="193" t="s">
        <v>106</v>
      </c>
      <c r="C18" s="194">
        <f>Loans!$C$5</f>
        <v>110000</v>
      </c>
      <c r="D18" s="195">
        <f t="shared" si="1"/>
        <v>93828</v>
      </c>
      <c r="E18" s="195">
        <f>IF(B18="","",SUMIFS('June 2026 Expenses'!C:C, 'June 2026 Expenses'!A:A, "&gt;="&amp;DATEVALUE(B18), 'June 2026 Expenses'!A:A, "&lt;="&amp;EOMONTH(DATEVALUE(B18), 0)))</f>
        <v>0</v>
      </c>
      <c r="F18" s="196">
        <f t="shared" si="2"/>
        <v>16172</v>
      </c>
      <c r="G18" s="197" t="s">
        <v>351</v>
      </c>
      <c r="H18" s="198">
        <v>26494.0</v>
      </c>
      <c r="I18" s="198">
        <v>11839.0</v>
      </c>
      <c r="J18" s="198">
        <v>15250.0</v>
      </c>
      <c r="K18" s="93"/>
      <c r="L18" s="82">
        <v>4500.0</v>
      </c>
      <c r="M18" s="82">
        <v>5000.0</v>
      </c>
      <c r="N18" s="186"/>
      <c r="O18" s="93"/>
      <c r="P18" s="198">
        <v>2600.0</v>
      </c>
      <c r="Q18" s="198">
        <v>2680.0</v>
      </c>
      <c r="R18" s="198">
        <v>5390.0</v>
      </c>
      <c r="S18" s="198">
        <v>3235.0</v>
      </c>
      <c r="T18" s="186"/>
      <c r="U18" s="198">
        <v>5920.0</v>
      </c>
      <c r="V18" s="198">
        <v>5920.0</v>
      </c>
      <c r="W18" s="198">
        <v>5000.0</v>
      </c>
      <c r="X18" s="114"/>
    </row>
    <row r="19" ht="22.5" customHeight="1">
      <c r="B19" s="59" t="s">
        <v>352</v>
      </c>
      <c r="C19" s="92">
        <f>Loans!$C$5</f>
        <v>110000</v>
      </c>
      <c r="D19" s="176">
        <f t="shared" si="1"/>
        <v>84328</v>
      </c>
      <c r="E19" s="176">
        <f>IF(B19="","",SUMIFS('June 2026 Expenses'!C:C, 'June 2026 Expenses'!A:A, "&gt;="&amp;DATEVALUE(B19), 'June 2026 Expenses'!A:A, "&lt;="&amp;EOMONTH(DATEVALUE(B19), 0)))</f>
        <v>0</v>
      </c>
      <c r="F19" s="180">
        <f t="shared" si="2"/>
        <v>25672</v>
      </c>
      <c r="G19" s="76"/>
      <c r="H19" s="78">
        <v>26494.0</v>
      </c>
      <c r="I19" s="78">
        <v>11839.0</v>
      </c>
      <c r="J19" s="78">
        <v>15250.0</v>
      </c>
      <c r="K19" s="93"/>
      <c r="L19" s="186"/>
      <c r="M19" s="186"/>
      <c r="N19" s="186"/>
      <c r="O19" s="93"/>
      <c r="P19" s="78">
        <v>2600.0</v>
      </c>
      <c r="Q19" s="78">
        <v>2680.0</v>
      </c>
      <c r="R19" s="78">
        <v>5390.0</v>
      </c>
      <c r="S19" s="78">
        <v>3235.0</v>
      </c>
      <c r="T19" s="186"/>
      <c r="U19" s="78">
        <v>5920.0</v>
      </c>
      <c r="V19" s="78">
        <v>5920.0</v>
      </c>
      <c r="W19" s="78">
        <v>5000.0</v>
      </c>
      <c r="X19" s="114"/>
    </row>
    <row r="20" ht="15.75" customHeight="1">
      <c r="B20" s="94" t="s">
        <v>353</v>
      </c>
      <c r="C20" s="95">
        <f>Loans!$C$5</f>
        <v>110000</v>
      </c>
      <c r="D20" s="153">
        <f t="shared" si="1"/>
        <v>84328</v>
      </c>
      <c r="E20" s="153">
        <f>IF(B20="","",SUMIFS('June 2026 Expenses'!C:C, 'June 2026 Expenses'!A:A, "&gt;="&amp;DATEVALUE(B20), 'June 2026 Expenses'!A:A, "&lt;="&amp;EOMONTH(DATEVALUE(B20), 0)))</f>
        <v>0</v>
      </c>
      <c r="F20" s="157">
        <f t="shared" si="2"/>
        <v>25672</v>
      </c>
      <c r="G20" s="110"/>
      <c r="H20" s="114">
        <v>26494.0</v>
      </c>
      <c r="I20" s="114">
        <v>11839.0</v>
      </c>
      <c r="J20" s="114">
        <v>15250.0</v>
      </c>
      <c r="K20" s="93"/>
      <c r="L20" s="186"/>
      <c r="M20" s="186"/>
      <c r="N20" s="186"/>
      <c r="O20" s="93"/>
      <c r="P20" s="114">
        <v>2600.0</v>
      </c>
      <c r="Q20" s="114">
        <v>2680.0</v>
      </c>
      <c r="R20" s="114">
        <v>5390.0</v>
      </c>
      <c r="S20" s="114">
        <v>3235.0</v>
      </c>
      <c r="T20" s="186"/>
      <c r="U20" s="114">
        <v>5920.0</v>
      </c>
      <c r="V20" s="114">
        <v>5920.0</v>
      </c>
      <c r="W20" s="114">
        <v>5000.0</v>
      </c>
      <c r="X20" s="114"/>
    </row>
    <row r="21" ht="15.75" customHeight="1">
      <c r="B21" s="86" t="s">
        <v>118</v>
      </c>
      <c r="C21" s="65">
        <f>Loans!$C$5</f>
        <v>110000</v>
      </c>
      <c r="D21" s="183">
        <f t="shared" si="1"/>
        <v>84328</v>
      </c>
      <c r="E21" s="183">
        <f>IF(B21="","",SUMIFS('June 2026 Expenses'!C:C, 'June 2026 Expenses'!A:A, "&gt;="&amp;DATEVALUE(B21), 'June 2026 Expenses'!A:A, "&lt;="&amp;EOMONTH(DATEVALUE(B21), 0)))</f>
        <v>0</v>
      </c>
      <c r="F21" s="184">
        <f t="shared" si="2"/>
        <v>25672</v>
      </c>
      <c r="G21" s="88" t="s">
        <v>354</v>
      </c>
      <c r="H21" s="89">
        <v>26494.0</v>
      </c>
      <c r="I21" s="89">
        <v>11839.0</v>
      </c>
      <c r="J21" s="89">
        <v>15250.0</v>
      </c>
      <c r="K21" s="93"/>
      <c r="L21" s="186"/>
      <c r="M21" s="186"/>
      <c r="N21" s="186"/>
      <c r="O21" s="93"/>
      <c r="P21" s="89">
        <v>2600.0</v>
      </c>
      <c r="Q21" s="89">
        <v>2680.0</v>
      </c>
      <c r="R21" s="89">
        <v>5390.0</v>
      </c>
      <c r="S21" s="185">
        <v>3235.0</v>
      </c>
      <c r="T21" s="186"/>
      <c r="U21" s="89">
        <v>5920.0</v>
      </c>
      <c r="V21" s="89">
        <v>5920.0</v>
      </c>
      <c r="W21" s="89">
        <v>5000.0</v>
      </c>
      <c r="X21" s="114"/>
    </row>
    <row r="22" ht="15.75" customHeight="1">
      <c r="B22" s="94" t="s">
        <v>355</v>
      </c>
      <c r="C22" s="95">
        <f>Loans!$C$5</f>
        <v>110000</v>
      </c>
      <c r="D22" s="153">
        <f t="shared" si="1"/>
        <v>81093</v>
      </c>
      <c r="E22" s="153">
        <f>IF(B22="","",SUMIFS('June 2026 Expenses'!C:C, 'June 2026 Expenses'!A:A, "&gt;="&amp;DATEVALUE(B22), 'June 2026 Expenses'!A:A, "&lt;="&amp;EOMONTH(DATEVALUE(B22), 0)))</f>
        <v>0</v>
      </c>
      <c r="F22" s="157">
        <f t="shared" si="2"/>
        <v>28907</v>
      </c>
      <c r="G22" s="110"/>
      <c r="H22" s="114">
        <v>26494.0</v>
      </c>
      <c r="I22" s="114">
        <v>11839.0</v>
      </c>
      <c r="J22" s="114">
        <v>15250.0</v>
      </c>
      <c r="K22" s="93"/>
      <c r="L22" s="186"/>
      <c r="M22" s="186"/>
      <c r="N22" s="186"/>
      <c r="O22" s="93"/>
      <c r="P22" s="114">
        <v>2600.0</v>
      </c>
      <c r="Q22" s="114">
        <v>2680.0</v>
      </c>
      <c r="R22" s="114">
        <v>5390.0</v>
      </c>
      <c r="S22" s="186"/>
      <c r="T22" s="186"/>
      <c r="U22" s="114">
        <v>5920.0</v>
      </c>
      <c r="V22" s="114">
        <v>5920.0</v>
      </c>
      <c r="W22" s="114">
        <v>5000.0</v>
      </c>
      <c r="X22" s="114"/>
    </row>
    <row r="23" ht="15.75" customHeight="1">
      <c r="B23" s="59" t="s">
        <v>356</v>
      </c>
      <c r="C23" s="92">
        <f>Loans!$C$5</f>
        <v>110000</v>
      </c>
      <c r="D23" s="176">
        <f t="shared" si="1"/>
        <v>81093</v>
      </c>
      <c r="E23" s="176">
        <f>IF(B23="","",SUMIFS('June 2026 Expenses'!C:C, 'June 2026 Expenses'!A:A, "&gt;="&amp;DATEVALUE(B23), 'June 2026 Expenses'!A:A, "&lt;="&amp;EOMONTH(DATEVALUE(B23), 0)))</f>
        <v>0</v>
      </c>
      <c r="F23" s="180">
        <f t="shared" si="2"/>
        <v>28907</v>
      </c>
      <c r="G23" s="76"/>
      <c r="H23" s="78">
        <v>26494.0</v>
      </c>
      <c r="I23" s="78">
        <v>11839.0</v>
      </c>
      <c r="J23" s="78">
        <v>15250.0</v>
      </c>
      <c r="K23" s="93"/>
      <c r="L23" s="186"/>
      <c r="M23" s="186"/>
      <c r="N23" s="186"/>
      <c r="O23" s="93"/>
      <c r="P23" s="78">
        <v>2600.0</v>
      </c>
      <c r="Q23" s="78">
        <v>2680.0</v>
      </c>
      <c r="R23" s="78">
        <v>5390.0</v>
      </c>
      <c r="S23" s="186"/>
      <c r="T23" s="186"/>
      <c r="U23" s="78">
        <v>5920.0</v>
      </c>
      <c r="V23" s="78">
        <v>5920.0</v>
      </c>
      <c r="W23" s="78">
        <v>5000.0</v>
      </c>
      <c r="X23" s="114"/>
    </row>
    <row r="24" ht="15.75" customHeight="1">
      <c r="B24" s="193" t="s">
        <v>78</v>
      </c>
      <c r="C24" s="194">
        <f>Loans!$C$5</f>
        <v>110000</v>
      </c>
      <c r="D24" s="195">
        <f t="shared" si="1"/>
        <v>81093</v>
      </c>
      <c r="E24" s="195">
        <f>IF(B24="","",SUMIFS('June 2026 Expenses'!C:C, 'June 2026 Expenses'!A:A, "&gt;="&amp;DATEVALUE(B24), 'June 2026 Expenses'!A:A, "&lt;="&amp;EOMONTH(DATEVALUE(B24), 0)))</f>
        <v>0</v>
      </c>
      <c r="F24" s="196">
        <f t="shared" si="2"/>
        <v>28907</v>
      </c>
      <c r="G24" s="197" t="s">
        <v>357</v>
      </c>
      <c r="H24" s="198">
        <v>26494.0</v>
      </c>
      <c r="I24" s="185">
        <v>11839.0</v>
      </c>
      <c r="J24" s="198">
        <v>15250.0</v>
      </c>
      <c r="K24" s="93"/>
      <c r="L24" s="186"/>
      <c r="M24" s="186"/>
      <c r="N24" s="186"/>
      <c r="O24" s="93"/>
      <c r="P24" s="198">
        <v>2600.0</v>
      </c>
      <c r="Q24" s="198">
        <v>2680.0</v>
      </c>
      <c r="R24" s="185">
        <v>5390.0</v>
      </c>
      <c r="S24" s="186"/>
      <c r="T24" s="186"/>
      <c r="U24" s="198">
        <v>5920.0</v>
      </c>
      <c r="V24" s="198">
        <v>5920.0</v>
      </c>
      <c r="W24" s="198">
        <v>5000.0</v>
      </c>
      <c r="X24" s="114"/>
    </row>
    <row r="25" ht="15.75" customHeight="1">
      <c r="B25" s="59" t="s">
        <v>358</v>
      </c>
      <c r="C25" s="92">
        <f>Loans!$C$5</f>
        <v>110000</v>
      </c>
      <c r="D25" s="176">
        <f t="shared" si="1"/>
        <v>63864</v>
      </c>
      <c r="E25" s="176">
        <f>IF(B25="","",SUMIFS('June 2026 Expenses'!C:C, 'June 2026 Expenses'!A:A, "&gt;="&amp;DATEVALUE(B25), 'June 2026 Expenses'!A:A, "&lt;="&amp;EOMONTH(DATEVALUE(B25), 0)))</f>
        <v>0</v>
      </c>
      <c r="F25" s="180">
        <f t="shared" si="2"/>
        <v>46136</v>
      </c>
      <c r="G25" s="76"/>
      <c r="H25" s="78">
        <v>26494.0</v>
      </c>
      <c r="I25" s="186"/>
      <c r="J25" s="78">
        <v>15250.0</v>
      </c>
      <c r="K25" s="93"/>
      <c r="L25" s="186"/>
      <c r="M25" s="186"/>
      <c r="N25" s="186"/>
      <c r="O25" s="93"/>
      <c r="P25" s="78">
        <v>2600.0</v>
      </c>
      <c r="Q25" s="78">
        <v>2680.0</v>
      </c>
      <c r="R25" s="186"/>
      <c r="S25" s="186"/>
      <c r="T25" s="186"/>
      <c r="U25" s="78">
        <v>5920.0</v>
      </c>
      <c r="V25" s="78">
        <v>5920.0</v>
      </c>
      <c r="W25" s="78">
        <v>5000.0</v>
      </c>
      <c r="X25" s="114"/>
    </row>
    <row r="26" ht="15.75" customHeight="1">
      <c r="B26" s="86" t="s">
        <v>115</v>
      </c>
      <c r="C26" s="65">
        <f>Loans!$C$5</f>
        <v>110000</v>
      </c>
      <c r="D26" s="183">
        <f t="shared" si="1"/>
        <v>63864</v>
      </c>
      <c r="E26" s="183">
        <f>IF(B26="","",SUMIFS('June 2026 Expenses'!C:C, 'June 2026 Expenses'!A:A, "&gt;="&amp;DATEVALUE(B26), 'June 2026 Expenses'!A:A, "&lt;="&amp;EOMONTH(DATEVALUE(B26), 0)))</f>
        <v>0</v>
      </c>
      <c r="F26" s="184">
        <f t="shared" si="2"/>
        <v>46136</v>
      </c>
      <c r="G26" s="88" t="s">
        <v>359</v>
      </c>
      <c r="H26" s="89">
        <v>26494.0</v>
      </c>
      <c r="I26" s="186"/>
      <c r="J26" s="89">
        <v>15250.0</v>
      </c>
      <c r="K26" s="93"/>
      <c r="L26" s="186"/>
      <c r="M26" s="186"/>
      <c r="N26" s="186"/>
      <c r="O26" s="93"/>
      <c r="P26" s="185">
        <v>2600.0</v>
      </c>
      <c r="Q26" s="89">
        <v>2680.0</v>
      </c>
      <c r="R26" s="186"/>
      <c r="S26" s="186"/>
      <c r="T26" s="186"/>
      <c r="U26" s="89">
        <v>5920.0</v>
      </c>
      <c r="V26" s="89">
        <v>5920.0</v>
      </c>
      <c r="W26" s="89">
        <v>5000.0</v>
      </c>
      <c r="X26" s="114"/>
    </row>
    <row r="27" ht="15.75" customHeight="1">
      <c r="B27" s="86" t="s">
        <v>116</v>
      </c>
      <c r="C27" s="65">
        <f>Loans!$C$5</f>
        <v>110000</v>
      </c>
      <c r="D27" s="183">
        <f t="shared" si="1"/>
        <v>61264</v>
      </c>
      <c r="E27" s="183">
        <f>IF(B27="","",SUMIFS('June 2026 Expenses'!C:C, 'June 2026 Expenses'!A:A, "&gt;="&amp;DATEVALUE(B27), 'June 2026 Expenses'!A:A, "&lt;="&amp;EOMONTH(DATEVALUE(B27), 0)))</f>
        <v>0</v>
      </c>
      <c r="F27" s="184">
        <f t="shared" si="2"/>
        <v>48736</v>
      </c>
      <c r="G27" s="88" t="s">
        <v>360</v>
      </c>
      <c r="H27" s="89">
        <v>26494.0</v>
      </c>
      <c r="I27" s="186"/>
      <c r="J27" s="89">
        <v>15250.0</v>
      </c>
      <c r="K27" s="93"/>
      <c r="L27" s="186"/>
      <c r="M27" s="186"/>
      <c r="N27" s="186"/>
      <c r="O27" s="93"/>
      <c r="P27" s="186"/>
      <c r="Q27" s="185">
        <v>2680.0</v>
      </c>
      <c r="R27" s="186"/>
      <c r="S27" s="186"/>
      <c r="T27" s="186"/>
      <c r="U27" s="89">
        <v>5920.0</v>
      </c>
      <c r="V27" s="89">
        <v>5920.0</v>
      </c>
      <c r="W27" s="89">
        <v>5000.0</v>
      </c>
      <c r="X27" s="114"/>
    </row>
    <row r="28" ht="15.75" customHeight="1">
      <c r="B28" s="94" t="s">
        <v>361</v>
      </c>
      <c r="C28" s="95">
        <f>Loans!$C$5</f>
        <v>110000</v>
      </c>
      <c r="D28" s="153">
        <f t="shared" si="1"/>
        <v>58584</v>
      </c>
      <c r="E28" s="153">
        <f>IF(B28="","",SUMIFS('June 2026 Expenses'!C:C, 'June 2026 Expenses'!A:A, "&gt;="&amp;DATEVALUE(B28), 'June 2026 Expenses'!A:A, "&lt;="&amp;EOMONTH(DATEVALUE(B28), 0)))</f>
        <v>0</v>
      </c>
      <c r="F28" s="157">
        <f t="shared" si="2"/>
        <v>51416</v>
      </c>
      <c r="G28" s="110"/>
      <c r="H28" s="114">
        <v>26494.0</v>
      </c>
      <c r="I28" s="186"/>
      <c r="J28" s="114">
        <v>15250.0</v>
      </c>
      <c r="K28" s="93"/>
      <c r="L28" s="186"/>
      <c r="M28" s="186"/>
      <c r="N28" s="186"/>
      <c r="O28" s="93"/>
      <c r="P28" s="186"/>
      <c r="Q28" s="186"/>
      <c r="R28" s="186"/>
      <c r="S28" s="186"/>
      <c r="T28" s="186"/>
      <c r="U28" s="114">
        <v>5920.0</v>
      </c>
      <c r="V28" s="114">
        <v>5920.0</v>
      </c>
      <c r="W28" s="114">
        <v>5000.0</v>
      </c>
      <c r="X28" s="114"/>
    </row>
    <row r="29" ht="15.75" customHeight="1">
      <c r="B29" s="86" t="s">
        <v>120</v>
      </c>
      <c r="C29" s="65">
        <f>Loans!$C$5</f>
        <v>110000</v>
      </c>
      <c r="D29" s="183">
        <f t="shared" si="1"/>
        <v>58584</v>
      </c>
      <c r="E29" s="183">
        <f>IF(B29="","",SUMIFS('June 2026 Expenses'!C:C, 'June 2026 Expenses'!A:A, "&gt;="&amp;DATEVALUE(B29), 'June 2026 Expenses'!A:A, "&lt;="&amp;EOMONTH(DATEVALUE(B29), 0)))</f>
        <v>0</v>
      </c>
      <c r="F29" s="184">
        <f t="shared" si="2"/>
        <v>51416</v>
      </c>
      <c r="G29" s="88" t="s">
        <v>362</v>
      </c>
      <c r="H29" s="89">
        <v>26494.0</v>
      </c>
      <c r="I29" s="186"/>
      <c r="J29" s="89">
        <v>15250.0</v>
      </c>
      <c r="K29" s="93"/>
      <c r="L29" s="186"/>
      <c r="M29" s="186"/>
      <c r="N29" s="186"/>
      <c r="O29" s="93"/>
      <c r="P29" s="186"/>
      <c r="Q29" s="186"/>
      <c r="R29" s="186"/>
      <c r="S29" s="186"/>
      <c r="T29" s="186"/>
      <c r="U29" s="185">
        <v>5920.0</v>
      </c>
      <c r="V29" s="185">
        <v>5920.0</v>
      </c>
      <c r="W29" s="89">
        <v>5000.0</v>
      </c>
      <c r="X29" s="114"/>
    </row>
    <row r="30" ht="15.75" customHeight="1">
      <c r="B30" s="94" t="s">
        <v>363</v>
      </c>
      <c r="C30" s="95">
        <f>Loans!$C$5</f>
        <v>110000</v>
      </c>
      <c r="D30" s="153">
        <f t="shared" si="1"/>
        <v>46744</v>
      </c>
      <c r="E30" s="153">
        <f>IF(B30="","",SUMIFS('June 2026 Expenses'!C:C, 'June 2026 Expenses'!A:A, "&gt;="&amp;DATEVALUE(B30), 'June 2026 Expenses'!A:A, "&lt;="&amp;EOMONTH(DATEVALUE(B30), 0)))</f>
        <v>0</v>
      </c>
      <c r="F30" s="157">
        <f t="shared" si="2"/>
        <v>63256</v>
      </c>
      <c r="G30" s="110"/>
      <c r="H30" s="114">
        <v>26494.0</v>
      </c>
      <c r="I30" s="186"/>
      <c r="J30" s="114">
        <v>15250.0</v>
      </c>
      <c r="K30" s="93"/>
      <c r="L30" s="186"/>
      <c r="M30" s="186"/>
      <c r="N30" s="186"/>
      <c r="O30" s="93"/>
      <c r="P30" s="186"/>
      <c r="Q30" s="186"/>
      <c r="R30" s="186"/>
      <c r="S30" s="186"/>
      <c r="T30" s="186"/>
      <c r="U30" s="186"/>
      <c r="V30" s="186"/>
      <c r="W30" s="114">
        <v>5000.0</v>
      </c>
      <c r="X30" s="114"/>
    </row>
    <row r="31" ht="15.75" customHeight="1">
      <c r="B31" s="59" t="s">
        <v>364</v>
      </c>
      <c r="C31" s="92">
        <f>Loans!$C$5</f>
        <v>110000</v>
      </c>
      <c r="D31" s="176">
        <f t="shared" si="1"/>
        <v>46744</v>
      </c>
      <c r="E31" s="176">
        <f>IF(B31="","",SUMIFS('June 2026 Expenses'!C:C, 'June 2026 Expenses'!A:A, "&gt;="&amp;DATEVALUE(B31), 'June 2026 Expenses'!A:A, "&lt;="&amp;EOMONTH(DATEVALUE(B31), 0)))</f>
        <v>0</v>
      </c>
      <c r="F31" s="180">
        <f t="shared" si="2"/>
        <v>63256</v>
      </c>
      <c r="G31" s="76"/>
      <c r="H31" s="78">
        <v>26494.0</v>
      </c>
      <c r="I31" s="186"/>
      <c r="J31" s="78">
        <v>15250.0</v>
      </c>
      <c r="K31" s="93"/>
      <c r="L31" s="186"/>
      <c r="M31" s="186"/>
      <c r="N31" s="186"/>
      <c r="O31" s="93"/>
      <c r="P31" s="186"/>
      <c r="Q31" s="186"/>
      <c r="R31" s="186"/>
      <c r="S31" s="186"/>
      <c r="T31" s="186"/>
      <c r="U31" s="186"/>
      <c r="V31" s="186"/>
      <c r="W31" s="78">
        <v>5000.0</v>
      </c>
      <c r="X31" s="114"/>
    </row>
    <row r="32" ht="15.75" customHeight="1">
      <c r="B32" s="94" t="s">
        <v>365</v>
      </c>
      <c r="C32" s="95">
        <f>Loans!$C$5</f>
        <v>110000</v>
      </c>
      <c r="D32" s="153">
        <f t="shared" si="1"/>
        <v>46744</v>
      </c>
      <c r="E32" s="153">
        <f>IF(B32="","",SUMIFS('June 2026 Expenses'!C:C, 'June 2026 Expenses'!A:A, "&gt;="&amp;DATEVALUE(B32), 'June 2026 Expenses'!A:A, "&lt;="&amp;EOMONTH(DATEVALUE(B32), 0)))</f>
        <v>0</v>
      </c>
      <c r="F32" s="157">
        <f t="shared" si="2"/>
        <v>63256</v>
      </c>
      <c r="G32" s="110"/>
      <c r="H32" s="114">
        <v>26494.0</v>
      </c>
      <c r="I32" s="186"/>
      <c r="J32" s="114">
        <v>15250.0</v>
      </c>
      <c r="K32" s="93"/>
      <c r="L32" s="186"/>
      <c r="M32" s="186"/>
      <c r="N32" s="186"/>
      <c r="O32" s="93"/>
      <c r="P32" s="186"/>
      <c r="Q32" s="186"/>
      <c r="R32" s="186"/>
      <c r="S32" s="186"/>
      <c r="T32" s="186"/>
      <c r="U32" s="186"/>
      <c r="V32" s="186"/>
      <c r="W32" s="114">
        <v>5000.0</v>
      </c>
      <c r="X32" s="114"/>
    </row>
    <row r="33" ht="15.75" customHeight="1">
      <c r="B33" s="59" t="s">
        <v>366</v>
      </c>
      <c r="C33" s="92">
        <f>Loans!$C$5</f>
        <v>110000</v>
      </c>
      <c r="D33" s="176">
        <f t="shared" si="1"/>
        <v>46744</v>
      </c>
      <c r="E33" s="176">
        <f>IF(B33="","",SUMIFS('June 2026 Expenses'!C:C, 'June 2026 Expenses'!A:A, "&gt;="&amp;DATEVALUE(B33), 'June 2026 Expenses'!A:A, "&lt;="&amp;EOMONTH(DATEVALUE(B33), 0)))</f>
        <v>0</v>
      </c>
      <c r="F33" s="180">
        <f t="shared" si="2"/>
        <v>63256</v>
      </c>
      <c r="G33" s="76"/>
      <c r="H33" s="78">
        <v>26494.0</v>
      </c>
      <c r="I33" s="186"/>
      <c r="J33" s="78">
        <v>15250.0</v>
      </c>
      <c r="K33" s="93"/>
      <c r="L33" s="186"/>
      <c r="M33" s="186"/>
      <c r="N33" s="186"/>
      <c r="O33" s="93"/>
      <c r="P33" s="186"/>
      <c r="Q33" s="186"/>
      <c r="R33" s="186"/>
      <c r="S33" s="186"/>
      <c r="T33" s="186"/>
      <c r="U33" s="186"/>
      <c r="V33" s="186"/>
      <c r="W33" s="78">
        <v>5000.0</v>
      </c>
      <c r="X33" s="114"/>
    </row>
    <row r="34" ht="15.75" customHeight="1">
      <c r="B34" s="94" t="s">
        <v>367</v>
      </c>
      <c r="C34" s="95">
        <f>Loans!$C$5</f>
        <v>110000</v>
      </c>
      <c r="D34" s="153">
        <f t="shared" si="1"/>
        <v>46744</v>
      </c>
      <c r="E34" s="153">
        <f>IF(B34="","",SUMIFS('June 2026 Expenses'!C:C, 'June 2026 Expenses'!A:A, "&gt;="&amp;DATEVALUE(B34), 'June 2026 Expenses'!A:A, "&lt;="&amp;EOMONTH(DATEVALUE(B34), 0)))</f>
        <v>0</v>
      </c>
      <c r="F34" s="157">
        <f t="shared" si="2"/>
        <v>63256</v>
      </c>
      <c r="G34" s="110"/>
      <c r="H34" s="114">
        <v>26494.0</v>
      </c>
      <c r="I34" s="186"/>
      <c r="J34" s="114">
        <v>15250.0</v>
      </c>
      <c r="K34" s="93"/>
      <c r="L34" s="186"/>
      <c r="M34" s="186"/>
      <c r="N34" s="186"/>
      <c r="O34" s="93"/>
      <c r="P34" s="186"/>
      <c r="Q34" s="186"/>
      <c r="R34" s="186"/>
      <c r="S34" s="186"/>
      <c r="T34" s="186"/>
      <c r="U34" s="186"/>
      <c r="V34" s="186"/>
      <c r="W34" s="114">
        <v>5000.0</v>
      </c>
      <c r="X34" s="114"/>
    </row>
    <row r="35" ht="15.75" customHeight="1">
      <c r="B35" s="86" t="s">
        <v>123</v>
      </c>
      <c r="C35" s="65">
        <f>Loans!$C$5</f>
        <v>110000</v>
      </c>
      <c r="D35" s="183">
        <f t="shared" si="1"/>
        <v>46744</v>
      </c>
      <c r="E35" s="183">
        <f>IF(B35="","",SUMIFS('June 2026 Expenses'!C:C, 'June 2026 Expenses'!A:A, "&gt;="&amp;DATEVALUE(B35), 'June 2026 Expenses'!A:A, "&lt;="&amp;EOMONTH(DATEVALUE(B35), 0)))</f>
        <v>0</v>
      </c>
      <c r="F35" s="184">
        <f t="shared" si="2"/>
        <v>63256</v>
      </c>
      <c r="G35" s="88" t="s">
        <v>368</v>
      </c>
      <c r="H35" s="89">
        <v>26494.0</v>
      </c>
      <c r="I35" s="186"/>
      <c r="J35" s="89">
        <v>15250.0</v>
      </c>
      <c r="K35" s="93"/>
      <c r="L35" s="186"/>
      <c r="M35" s="186"/>
      <c r="N35" s="186"/>
      <c r="O35" s="93"/>
      <c r="P35" s="186"/>
      <c r="Q35" s="186"/>
      <c r="R35" s="186"/>
      <c r="S35" s="186"/>
      <c r="T35" s="186"/>
      <c r="U35" s="186"/>
      <c r="V35" s="186"/>
      <c r="W35" s="185">
        <v>5000.0</v>
      </c>
      <c r="X35" s="114"/>
    </row>
    <row r="36" ht="15.75" customHeight="1">
      <c r="B36" s="94" t="s">
        <v>369</v>
      </c>
      <c r="C36" s="95">
        <f>Loans!$C$5</f>
        <v>110000</v>
      </c>
      <c r="D36" s="153">
        <f t="shared" si="1"/>
        <v>41744</v>
      </c>
      <c r="E36" s="153">
        <f>IF(B36="","",SUMIFS('June 2026 Expenses'!C:C, 'June 2026 Expenses'!A:A, "&gt;="&amp;DATEVALUE(B36), 'June 2026 Expenses'!A:A, "&lt;="&amp;EOMONTH(DATEVALUE(B36), 0)))</f>
        <v>0</v>
      </c>
      <c r="F36" s="157">
        <f t="shared" si="2"/>
        <v>68256</v>
      </c>
      <c r="G36" s="110"/>
      <c r="H36" s="114">
        <v>26494.0</v>
      </c>
      <c r="I36" s="186"/>
      <c r="J36" s="114">
        <v>15250.0</v>
      </c>
      <c r="K36" s="93"/>
      <c r="L36" s="186"/>
      <c r="M36" s="186"/>
      <c r="N36" s="186"/>
      <c r="O36" s="93"/>
      <c r="P36" s="186"/>
      <c r="Q36" s="186"/>
      <c r="R36" s="186"/>
      <c r="S36" s="186"/>
      <c r="T36" s="186"/>
      <c r="U36" s="186"/>
      <c r="V36" s="186"/>
      <c r="W36" s="186"/>
      <c r="X36" s="186"/>
    </row>
    <row r="37" ht="15.75" customHeight="1">
      <c r="B37" s="59" t="s">
        <v>370</v>
      </c>
      <c r="C37" s="92">
        <f>Loans!$C$5</f>
        <v>110000</v>
      </c>
      <c r="D37" s="176">
        <f t="shared" si="1"/>
        <v>41744</v>
      </c>
      <c r="E37" s="176">
        <f>IF(B37="","",SUMIFS('June 2026 Expenses'!C:C, 'June 2026 Expenses'!A:A, "&gt;="&amp;DATEVALUE(B37), 'June 2026 Expenses'!A:A, "&lt;="&amp;EOMONTH(DATEVALUE(B37), 0)))</f>
        <v>0</v>
      </c>
      <c r="F37" s="180">
        <f t="shared" si="2"/>
        <v>68256</v>
      </c>
      <c r="G37" s="76"/>
      <c r="H37" s="78">
        <v>26494.0</v>
      </c>
      <c r="I37" s="186"/>
      <c r="J37" s="78">
        <v>15250.0</v>
      </c>
      <c r="K37" s="93"/>
      <c r="L37" s="186"/>
      <c r="M37" s="186"/>
      <c r="N37" s="186"/>
      <c r="O37" s="93"/>
      <c r="P37" s="186"/>
      <c r="Q37" s="186"/>
      <c r="R37" s="186"/>
      <c r="S37" s="186"/>
      <c r="T37" s="186"/>
      <c r="U37" s="186"/>
      <c r="V37" s="186"/>
      <c r="W37" s="186"/>
      <c r="X37" s="186"/>
    </row>
    <row r="38" ht="15.75" customHeight="1">
      <c r="B38" s="94" t="s">
        <v>371</v>
      </c>
      <c r="C38" s="95">
        <f>Loans!$C$5</f>
        <v>110000</v>
      </c>
      <c r="D38" s="153">
        <f t="shared" si="1"/>
        <v>41744</v>
      </c>
      <c r="E38" s="153">
        <f>IF(B38="","",SUMIFS('June 2026 Expenses'!C:C, 'June 2026 Expenses'!A:A, "&gt;="&amp;DATEVALUE(B38), 'June 2026 Expenses'!A:A, "&lt;="&amp;EOMONTH(DATEVALUE(B38), 0)))</f>
        <v>0</v>
      </c>
      <c r="F38" s="157">
        <f t="shared" si="2"/>
        <v>68256</v>
      </c>
      <c r="G38" s="110"/>
      <c r="H38" s="114">
        <v>26494.0</v>
      </c>
      <c r="I38" s="186"/>
      <c r="J38" s="114">
        <v>15250.0</v>
      </c>
      <c r="K38" s="93"/>
      <c r="L38" s="186"/>
      <c r="M38" s="186"/>
      <c r="N38" s="186"/>
      <c r="O38" s="93"/>
      <c r="P38" s="186"/>
      <c r="Q38" s="186"/>
      <c r="R38" s="186"/>
      <c r="S38" s="186"/>
      <c r="T38" s="186"/>
      <c r="U38" s="186"/>
      <c r="V38" s="186"/>
      <c r="W38" s="186"/>
      <c r="X38" s="186"/>
    </row>
    <row r="39" ht="15.75" customHeight="1">
      <c r="B39" s="59" t="s">
        <v>372</v>
      </c>
      <c r="C39" s="92">
        <f>Loans!$C$5</f>
        <v>110000</v>
      </c>
      <c r="D39" s="176">
        <f t="shared" si="1"/>
        <v>41744</v>
      </c>
      <c r="E39" s="176">
        <f>IF(B39="","",SUMIFS('June 2026 Expenses'!C:C, 'June 2026 Expenses'!A:A, "&gt;="&amp;DATEVALUE(B39), 'June 2026 Expenses'!A:A, "&lt;="&amp;EOMONTH(DATEVALUE(B39), 0)))</f>
        <v>0</v>
      </c>
      <c r="F39" s="180">
        <f t="shared" si="2"/>
        <v>68256</v>
      </c>
      <c r="G39" s="76"/>
      <c r="H39" s="78">
        <v>26494.0</v>
      </c>
      <c r="I39" s="186"/>
      <c r="J39" s="78">
        <v>15250.0</v>
      </c>
      <c r="K39" s="93"/>
      <c r="L39" s="186"/>
      <c r="M39" s="186"/>
      <c r="N39" s="186"/>
      <c r="O39" s="93"/>
      <c r="P39" s="186"/>
      <c r="Q39" s="186"/>
      <c r="R39" s="186"/>
      <c r="S39" s="186"/>
      <c r="T39" s="186"/>
      <c r="U39" s="186"/>
      <c r="V39" s="186"/>
      <c r="W39" s="186"/>
      <c r="X39" s="186"/>
    </row>
    <row r="40" ht="15.75" customHeight="1">
      <c r="B40" s="94" t="s">
        <v>373</v>
      </c>
      <c r="C40" s="95">
        <f>Loans!$C$5</f>
        <v>110000</v>
      </c>
      <c r="D40" s="153">
        <f t="shared" si="1"/>
        <v>41744</v>
      </c>
      <c r="E40" s="153">
        <f>IF(B40="","",SUMIFS('June 2026 Expenses'!C:C, 'June 2026 Expenses'!A:A, "&gt;="&amp;DATEVALUE(B40), 'June 2026 Expenses'!A:A, "&lt;="&amp;EOMONTH(DATEVALUE(B40), 0)))</f>
        <v>0</v>
      </c>
      <c r="F40" s="157">
        <f t="shared" si="2"/>
        <v>68256</v>
      </c>
      <c r="G40" s="110"/>
      <c r="H40" s="114">
        <v>26494.0</v>
      </c>
      <c r="I40" s="186"/>
      <c r="J40" s="114">
        <v>15250.0</v>
      </c>
      <c r="K40" s="93"/>
      <c r="L40" s="186"/>
      <c r="M40" s="186"/>
      <c r="N40" s="186"/>
      <c r="O40" s="93"/>
      <c r="P40" s="186"/>
      <c r="Q40" s="186"/>
      <c r="R40" s="186"/>
      <c r="S40" s="186"/>
      <c r="T40" s="186"/>
      <c r="U40" s="186"/>
      <c r="V40" s="186"/>
      <c r="W40" s="186"/>
      <c r="X40" s="186"/>
    </row>
    <row r="41" ht="15.75" customHeight="1">
      <c r="B41" s="59" t="s">
        <v>288</v>
      </c>
      <c r="C41" s="92">
        <f>Loans!$C$5</f>
        <v>110000</v>
      </c>
      <c r="D41" s="176">
        <f t="shared" si="1"/>
        <v>41744</v>
      </c>
      <c r="E41" s="176">
        <f>IF(B41="","",SUMIFS('June 2026 Expenses'!C:C, 'June 2026 Expenses'!A:A, "&gt;="&amp;DATEVALUE(B41), 'June 2026 Expenses'!A:A, "&lt;="&amp;EOMONTH(DATEVALUE(B41), 0)))</f>
        <v>0</v>
      </c>
      <c r="F41" s="180">
        <f t="shared" si="2"/>
        <v>68256</v>
      </c>
      <c r="G41" s="199" t="s">
        <v>374</v>
      </c>
      <c r="H41" s="78">
        <v>26494.0</v>
      </c>
      <c r="I41" s="186"/>
      <c r="J41" s="78">
        <v>15250.0</v>
      </c>
      <c r="K41" s="93"/>
      <c r="L41" s="186"/>
      <c r="M41" s="186"/>
      <c r="N41" s="186"/>
      <c r="O41" s="93"/>
      <c r="P41" s="186"/>
      <c r="Q41" s="186"/>
      <c r="R41" s="186"/>
      <c r="S41" s="186"/>
      <c r="T41" s="186"/>
      <c r="U41" s="186"/>
      <c r="V41" s="186"/>
      <c r="W41" s="186"/>
      <c r="X41" s="186"/>
    </row>
    <row r="42" ht="15.75" customHeight="1">
      <c r="B42" s="94" t="s">
        <v>375</v>
      </c>
      <c r="C42" s="95">
        <f>Loans!$C$5</f>
        <v>110000</v>
      </c>
      <c r="D42" s="153">
        <f t="shared" si="1"/>
        <v>41744</v>
      </c>
      <c r="E42" s="153">
        <f>IF(B42="","",SUMIFS('June 2026 Expenses'!C:C, 'June 2026 Expenses'!A:A, "&gt;="&amp;DATEVALUE(B42), 'June 2026 Expenses'!A:A, "&lt;="&amp;EOMONTH(DATEVALUE(B42), 0)))</f>
        <v>0</v>
      </c>
      <c r="F42" s="157">
        <f t="shared" si="2"/>
        <v>68256</v>
      </c>
      <c r="G42" s="110"/>
      <c r="H42" s="114">
        <v>26494.0</v>
      </c>
      <c r="I42" s="186"/>
      <c r="J42" s="114">
        <v>15250.0</v>
      </c>
      <c r="K42" s="93"/>
      <c r="L42" s="186"/>
      <c r="M42" s="186"/>
      <c r="N42" s="186"/>
      <c r="O42" s="93"/>
      <c r="P42" s="186"/>
      <c r="Q42" s="186"/>
      <c r="R42" s="186"/>
      <c r="S42" s="186"/>
      <c r="T42" s="186"/>
      <c r="U42" s="186"/>
      <c r="V42" s="186"/>
      <c r="W42" s="186"/>
      <c r="X42" s="186"/>
    </row>
    <row r="43" ht="15.75" customHeight="1">
      <c r="B43" s="59" t="s">
        <v>376</v>
      </c>
      <c r="C43" s="92">
        <f>Loans!$C$5</f>
        <v>110000</v>
      </c>
      <c r="D43" s="176">
        <f t="shared" si="1"/>
        <v>41744</v>
      </c>
      <c r="E43" s="176">
        <f>IF(B43="","",SUMIFS('June 2026 Expenses'!C:C, 'June 2026 Expenses'!A:A, "&gt;="&amp;DATEVALUE(B43), 'June 2026 Expenses'!A:A, "&lt;="&amp;EOMONTH(DATEVALUE(B43), 0)))</f>
        <v>0</v>
      </c>
      <c r="F43" s="180">
        <f t="shared" si="2"/>
        <v>68256</v>
      </c>
      <c r="G43" s="76"/>
      <c r="H43" s="78">
        <v>26494.0</v>
      </c>
      <c r="I43" s="186"/>
      <c r="J43" s="78">
        <v>15250.0</v>
      </c>
      <c r="K43" s="93"/>
      <c r="L43" s="186"/>
      <c r="M43" s="186"/>
      <c r="N43" s="186"/>
      <c r="O43" s="93"/>
      <c r="P43" s="186"/>
      <c r="Q43" s="186"/>
      <c r="R43" s="186"/>
      <c r="S43" s="186"/>
      <c r="T43" s="186"/>
      <c r="U43" s="186"/>
      <c r="V43" s="186"/>
      <c r="W43" s="186"/>
      <c r="X43" s="186"/>
    </row>
    <row r="44" ht="15.75" customHeight="1">
      <c r="B44" s="94" t="s">
        <v>377</v>
      </c>
      <c r="C44" s="95">
        <f>Loans!$C$5</f>
        <v>110000</v>
      </c>
      <c r="D44" s="153">
        <f t="shared" si="1"/>
        <v>41744</v>
      </c>
      <c r="E44" s="153">
        <f>IF(B44="","",SUMIFS('June 2026 Expenses'!C:C, 'June 2026 Expenses'!A:A, "&gt;="&amp;DATEVALUE(B44), 'June 2026 Expenses'!A:A, "&lt;="&amp;EOMONTH(DATEVALUE(B44), 0)))</f>
        <v>0</v>
      </c>
      <c r="F44" s="157">
        <f t="shared" si="2"/>
        <v>68256</v>
      </c>
      <c r="G44" s="110"/>
      <c r="H44" s="114">
        <v>26494.0</v>
      </c>
      <c r="I44" s="186"/>
      <c r="J44" s="114">
        <v>15250.0</v>
      </c>
      <c r="K44" s="93"/>
      <c r="L44" s="186"/>
      <c r="M44" s="186"/>
      <c r="N44" s="186"/>
      <c r="O44" s="93"/>
      <c r="P44" s="186"/>
      <c r="Q44" s="186"/>
      <c r="R44" s="186"/>
      <c r="S44" s="186"/>
      <c r="T44" s="186"/>
      <c r="U44" s="186"/>
      <c r="V44" s="186"/>
      <c r="W44" s="186"/>
      <c r="X44" s="186"/>
    </row>
    <row r="45" ht="15.75" customHeight="1">
      <c r="B45" s="59" t="s">
        <v>378</v>
      </c>
      <c r="C45" s="92">
        <f>Loans!$C$5</f>
        <v>110000</v>
      </c>
      <c r="D45" s="176">
        <f t="shared" si="1"/>
        <v>41744</v>
      </c>
      <c r="E45" s="176">
        <f>IF(B45="","",SUMIFS('June 2026 Expenses'!C:C, 'June 2026 Expenses'!A:A, "&gt;="&amp;DATEVALUE(B45), 'June 2026 Expenses'!A:A, "&lt;="&amp;EOMONTH(DATEVALUE(B45), 0)))</f>
        <v>0</v>
      </c>
      <c r="F45" s="180">
        <f t="shared" si="2"/>
        <v>68256</v>
      </c>
      <c r="G45" s="76"/>
      <c r="H45" s="78">
        <v>26494.0</v>
      </c>
      <c r="I45" s="186"/>
      <c r="J45" s="78">
        <v>15250.0</v>
      </c>
      <c r="K45" s="93"/>
      <c r="L45" s="186"/>
      <c r="M45" s="186"/>
      <c r="N45" s="186"/>
      <c r="O45" s="93"/>
      <c r="P45" s="186"/>
      <c r="Q45" s="186"/>
      <c r="R45" s="186"/>
      <c r="S45" s="186"/>
      <c r="T45" s="186"/>
      <c r="U45" s="186"/>
      <c r="V45" s="186"/>
      <c r="W45" s="186"/>
      <c r="X45" s="186"/>
    </row>
    <row r="46" ht="15.75" customHeight="1">
      <c r="B46" s="94" t="s">
        <v>379</v>
      </c>
      <c r="C46" s="95">
        <f>Loans!$C$5</f>
        <v>110000</v>
      </c>
      <c r="D46" s="153">
        <f t="shared" si="1"/>
        <v>41744</v>
      </c>
      <c r="E46" s="153">
        <f>IF(B46="","",SUMIFS('June 2026 Expenses'!C:C, 'June 2026 Expenses'!A:A, "&gt;="&amp;DATEVALUE(B46), 'June 2026 Expenses'!A:A, "&lt;="&amp;EOMONTH(DATEVALUE(B46), 0)))</f>
        <v>0</v>
      </c>
      <c r="F46" s="157">
        <f t="shared" si="2"/>
        <v>68256</v>
      </c>
      <c r="G46" s="110"/>
      <c r="H46" s="114">
        <v>26494.0</v>
      </c>
      <c r="I46" s="186"/>
      <c r="J46" s="114">
        <v>15250.0</v>
      </c>
      <c r="K46" s="93"/>
      <c r="L46" s="186"/>
      <c r="M46" s="186"/>
      <c r="N46" s="186"/>
      <c r="O46" s="93"/>
      <c r="P46" s="186"/>
      <c r="Q46" s="186"/>
      <c r="R46" s="186"/>
      <c r="S46" s="186"/>
      <c r="T46" s="186"/>
      <c r="U46" s="186"/>
      <c r="V46" s="186"/>
      <c r="W46" s="186"/>
      <c r="X46" s="186"/>
    </row>
    <row r="47" ht="15.75" customHeight="1">
      <c r="B47" s="59" t="s">
        <v>380</v>
      </c>
      <c r="C47" s="92">
        <f>Loans!$C$5</f>
        <v>110000</v>
      </c>
      <c r="D47" s="176">
        <f t="shared" si="1"/>
        <v>41744</v>
      </c>
      <c r="E47" s="176">
        <f>IF(B47="","",SUMIFS('June 2026 Expenses'!C:C, 'June 2026 Expenses'!A:A, "&gt;="&amp;DATEVALUE(B47), 'June 2026 Expenses'!A:A, "&lt;="&amp;EOMONTH(DATEVALUE(B47), 0)))</f>
        <v>0</v>
      </c>
      <c r="F47" s="180">
        <f t="shared" si="2"/>
        <v>68256</v>
      </c>
      <c r="G47" s="76"/>
      <c r="H47" s="78">
        <v>26494.0</v>
      </c>
      <c r="I47" s="186"/>
      <c r="J47" s="78">
        <v>15250.0</v>
      </c>
      <c r="K47" s="93"/>
      <c r="L47" s="186"/>
      <c r="M47" s="186"/>
      <c r="N47" s="186"/>
      <c r="O47" s="93"/>
      <c r="P47" s="186"/>
      <c r="Q47" s="186"/>
      <c r="R47" s="186"/>
      <c r="S47" s="186"/>
      <c r="T47" s="186"/>
      <c r="U47" s="186"/>
      <c r="V47" s="186"/>
      <c r="W47" s="186"/>
      <c r="X47" s="186"/>
    </row>
    <row r="48" ht="15.75" customHeight="1">
      <c r="B48" s="94" t="s">
        <v>381</v>
      </c>
      <c r="C48" s="95">
        <f>Loans!$C$5</f>
        <v>110000</v>
      </c>
      <c r="D48" s="153">
        <f t="shared" si="1"/>
        <v>41744</v>
      </c>
      <c r="E48" s="153">
        <f>IF(B48="","",SUMIFS('June 2026 Expenses'!C:C, 'June 2026 Expenses'!A:A, "&gt;="&amp;DATEVALUE(B48), 'June 2026 Expenses'!A:A, "&lt;="&amp;EOMONTH(DATEVALUE(B48), 0)))</f>
        <v>0</v>
      </c>
      <c r="F48" s="157">
        <f t="shared" si="2"/>
        <v>68256</v>
      </c>
      <c r="G48" s="110"/>
      <c r="H48" s="114">
        <v>26494.0</v>
      </c>
      <c r="I48" s="186"/>
      <c r="J48" s="114">
        <v>15250.0</v>
      </c>
      <c r="K48" s="93"/>
      <c r="L48" s="186"/>
      <c r="M48" s="186"/>
      <c r="N48" s="186"/>
      <c r="O48" s="93"/>
      <c r="P48" s="186"/>
      <c r="Q48" s="186"/>
      <c r="R48" s="186"/>
      <c r="S48" s="186"/>
      <c r="T48" s="186"/>
      <c r="U48" s="186"/>
      <c r="V48" s="186"/>
      <c r="W48" s="186"/>
      <c r="X48" s="186"/>
    </row>
    <row r="49" ht="15.75" customHeight="1">
      <c r="B49" s="59" t="s">
        <v>382</v>
      </c>
      <c r="C49" s="92">
        <f>Loans!$C$5</f>
        <v>110000</v>
      </c>
      <c r="D49" s="176">
        <f t="shared" si="1"/>
        <v>41744</v>
      </c>
      <c r="E49" s="176">
        <f>IF(B49="","",SUMIFS('June 2026 Expenses'!C:C, 'June 2026 Expenses'!A:A, "&gt;="&amp;DATEVALUE(B49), 'June 2026 Expenses'!A:A, "&lt;="&amp;EOMONTH(DATEVALUE(B49), 0)))</f>
        <v>0</v>
      </c>
      <c r="F49" s="180">
        <f t="shared" si="2"/>
        <v>68256</v>
      </c>
      <c r="G49" s="76"/>
      <c r="H49" s="78">
        <v>26494.0</v>
      </c>
      <c r="I49" s="186"/>
      <c r="J49" s="78">
        <v>15250.0</v>
      </c>
      <c r="K49" s="93"/>
      <c r="L49" s="186"/>
      <c r="M49" s="186"/>
      <c r="N49" s="186"/>
      <c r="O49" s="93"/>
      <c r="P49" s="186"/>
      <c r="Q49" s="186"/>
      <c r="R49" s="186"/>
      <c r="S49" s="186"/>
      <c r="T49" s="186"/>
      <c r="U49" s="186"/>
      <c r="V49" s="186"/>
      <c r="W49" s="186"/>
      <c r="X49" s="186"/>
    </row>
    <row r="50" ht="15.75" customHeight="1">
      <c r="B50" s="94" t="s">
        <v>383</v>
      </c>
      <c r="C50" s="95">
        <f>Loans!$C$5</f>
        <v>110000</v>
      </c>
      <c r="D50" s="153">
        <f t="shared" si="1"/>
        <v>41744</v>
      </c>
      <c r="E50" s="153">
        <f>IF(B50="","",SUMIFS('June 2026 Expenses'!C:C, 'June 2026 Expenses'!A:A, "&gt;="&amp;DATEVALUE(B50), 'June 2026 Expenses'!A:A, "&lt;="&amp;EOMONTH(DATEVALUE(B50), 0)))</f>
        <v>0</v>
      </c>
      <c r="F50" s="157">
        <f t="shared" si="2"/>
        <v>68256</v>
      </c>
      <c r="G50" s="110"/>
      <c r="H50" s="114">
        <v>26494.0</v>
      </c>
      <c r="I50" s="186"/>
      <c r="J50" s="114">
        <v>15250.0</v>
      </c>
      <c r="K50" s="93"/>
      <c r="L50" s="186"/>
      <c r="M50" s="186"/>
      <c r="N50" s="186"/>
      <c r="O50" s="93"/>
      <c r="P50" s="186"/>
      <c r="Q50" s="186"/>
      <c r="R50" s="186"/>
      <c r="S50" s="186"/>
      <c r="T50" s="186"/>
      <c r="U50" s="186"/>
      <c r="V50" s="186"/>
      <c r="W50" s="186"/>
      <c r="X50" s="186"/>
    </row>
    <row r="51" ht="15.75" customHeight="1">
      <c r="B51" s="59" t="s">
        <v>384</v>
      </c>
      <c r="C51" s="92">
        <f>Loans!$C$5</f>
        <v>110000</v>
      </c>
      <c r="D51" s="176">
        <f t="shared" si="1"/>
        <v>41744</v>
      </c>
      <c r="E51" s="176">
        <f>IF(B51="","",SUMIFS('June 2026 Expenses'!C:C, 'June 2026 Expenses'!A:A, "&gt;="&amp;DATEVALUE(B51), 'June 2026 Expenses'!A:A, "&lt;="&amp;EOMONTH(DATEVALUE(B51), 0)))</f>
        <v>0</v>
      </c>
      <c r="F51" s="180">
        <f t="shared" si="2"/>
        <v>68256</v>
      </c>
      <c r="G51" s="76"/>
      <c r="H51" s="78">
        <v>26494.0</v>
      </c>
      <c r="I51" s="186"/>
      <c r="J51" s="78">
        <v>15250.0</v>
      </c>
      <c r="K51" s="93"/>
      <c r="L51" s="186"/>
      <c r="M51" s="186"/>
      <c r="N51" s="186"/>
      <c r="O51" s="93"/>
      <c r="P51" s="186"/>
      <c r="Q51" s="186"/>
      <c r="R51" s="186"/>
      <c r="S51" s="186"/>
      <c r="T51" s="186"/>
      <c r="U51" s="186"/>
      <c r="V51" s="186"/>
      <c r="W51" s="186"/>
      <c r="X51" s="186"/>
    </row>
    <row r="52" ht="15.75" customHeight="1">
      <c r="B52" s="94" t="s">
        <v>385</v>
      </c>
      <c r="C52" s="95">
        <f>Loans!$C$5</f>
        <v>110000</v>
      </c>
      <c r="D52" s="153">
        <f t="shared" si="1"/>
        <v>41744</v>
      </c>
      <c r="E52" s="153">
        <f>IF(B52="","",SUMIFS('June 2026 Expenses'!C:C, 'June 2026 Expenses'!A:A, "&gt;="&amp;DATEVALUE(B52), 'June 2026 Expenses'!A:A, "&lt;="&amp;EOMONTH(DATEVALUE(B52), 0)))</f>
        <v>0</v>
      </c>
      <c r="F52" s="157">
        <f t="shared" si="2"/>
        <v>68256</v>
      </c>
      <c r="G52" s="110"/>
      <c r="H52" s="114">
        <v>26494.0</v>
      </c>
      <c r="I52" s="186"/>
      <c r="J52" s="114">
        <v>15250.0</v>
      </c>
      <c r="K52" s="93"/>
      <c r="L52" s="186"/>
      <c r="M52" s="186"/>
      <c r="N52" s="186"/>
      <c r="O52" s="93"/>
      <c r="P52" s="186"/>
      <c r="Q52" s="186"/>
      <c r="R52" s="186"/>
      <c r="S52" s="186"/>
      <c r="T52" s="186"/>
      <c r="U52" s="186"/>
      <c r="V52" s="186"/>
      <c r="W52" s="186"/>
      <c r="X52" s="186"/>
    </row>
    <row r="53" ht="15.75" customHeight="1">
      <c r="B53" s="59" t="s">
        <v>386</v>
      </c>
      <c r="C53" s="92">
        <f>Loans!$C$5</f>
        <v>110000</v>
      </c>
      <c r="D53" s="176">
        <f t="shared" si="1"/>
        <v>41744</v>
      </c>
      <c r="E53" s="176">
        <f>IF(B53="","",SUMIFS('June 2026 Expenses'!C:C, 'June 2026 Expenses'!A:A, "&gt;="&amp;DATEVALUE(B53), 'June 2026 Expenses'!A:A, "&lt;="&amp;EOMONTH(DATEVALUE(B53), 0)))</f>
        <v>0</v>
      </c>
      <c r="F53" s="180">
        <f t="shared" si="2"/>
        <v>68256</v>
      </c>
      <c r="G53" s="76"/>
      <c r="H53" s="78">
        <v>26494.0</v>
      </c>
      <c r="I53" s="186"/>
      <c r="J53" s="78">
        <v>15250.0</v>
      </c>
      <c r="K53" s="93"/>
      <c r="L53" s="186"/>
      <c r="M53" s="186"/>
      <c r="N53" s="186"/>
      <c r="O53" s="93"/>
      <c r="P53" s="186"/>
      <c r="Q53" s="186"/>
      <c r="R53" s="186"/>
      <c r="S53" s="186"/>
      <c r="T53" s="186"/>
      <c r="U53" s="186"/>
      <c r="V53" s="186"/>
      <c r="W53" s="186"/>
      <c r="X53" s="186"/>
    </row>
    <row r="54" ht="15.75" customHeight="1">
      <c r="B54" s="94" t="s">
        <v>387</v>
      </c>
      <c r="C54" s="95">
        <f>Loans!$C$5</f>
        <v>110000</v>
      </c>
      <c r="D54" s="153">
        <f t="shared" si="1"/>
        <v>41744</v>
      </c>
      <c r="E54" s="153">
        <f>IF(B54="","",SUMIFS('June 2026 Expenses'!C:C, 'June 2026 Expenses'!A:A, "&gt;="&amp;DATEVALUE(B54), 'June 2026 Expenses'!A:A, "&lt;="&amp;EOMONTH(DATEVALUE(B54), 0)))</f>
        <v>0</v>
      </c>
      <c r="F54" s="157">
        <f t="shared" si="2"/>
        <v>68256</v>
      </c>
      <c r="G54" s="110"/>
      <c r="H54" s="114">
        <v>26494.0</v>
      </c>
      <c r="I54" s="186"/>
      <c r="J54" s="114">
        <v>15250.0</v>
      </c>
      <c r="K54" s="93"/>
      <c r="L54" s="186"/>
      <c r="M54" s="186"/>
      <c r="N54" s="186"/>
      <c r="O54" s="93"/>
      <c r="P54" s="186"/>
      <c r="Q54" s="186"/>
      <c r="R54" s="186"/>
      <c r="S54" s="186"/>
      <c r="T54" s="186"/>
      <c r="U54" s="186"/>
      <c r="V54" s="186"/>
      <c r="W54" s="186"/>
      <c r="X54" s="186"/>
    </row>
    <row r="55" ht="15.75" customHeight="1">
      <c r="B55" s="59" t="s">
        <v>388</v>
      </c>
      <c r="C55" s="92">
        <f>Loans!$C$5</f>
        <v>110000</v>
      </c>
      <c r="D55" s="176">
        <f t="shared" si="1"/>
        <v>41744</v>
      </c>
      <c r="E55" s="176">
        <f>IF(B55="","",SUMIFS('June 2026 Expenses'!C:C, 'June 2026 Expenses'!A:A, "&gt;="&amp;DATEVALUE(B55), 'June 2026 Expenses'!A:A, "&lt;="&amp;EOMONTH(DATEVALUE(B55), 0)))</f>
        <v>0</v>
      </c>
      <c r="F55" s="180">
        <f t="shared" si="2"/>
        <v>68256</v>
      </c>
      <c r="G55" s="76"/>
      <c r="H55" s="78">
        <v>26494.0</v>
      </c>
      <c r="I55" s="186"/>
      <c r="J55" s="78">
        <v>15250.0</v>
      </c>
      <c r="K55" s="93"/>
      <c r="L55" s="186"/>
      <c r="M55" s="186"/>
      <c r="N55" s="186"/>
      <c r="O55" s="93"/>
      <c r="P55" s="186"/>
      <c r="Q55" s="186"/>
      <c r="R55" s="186"/>
      <c r="S55" s="186"/>
      <c r="T55" s="186"/>
      <c r="U55" s="186"/>
      <c r="V55" s="186"/>
      <c r="W55" s="186"/>
      <c r="X55" s="186"/>
    </row>
    <row r="56" ht="15.75" customHeight="1">
      <c r="B56" s="94" t="s">
        <v>389</v>
      </c>
      <c r="C56" s="95">
        <f>Loans!$C$5</f>
        <v>110000</v>
      </c>
      <c r="D56" s="153">
        <f t="shared" si="1"/>
        <v>41744</v>
      </c>
      <c r="E56" s="153">
        <f>IF(B56="","",SUMIFS('June 2026 Expenses'!C:C, 'June 2026 Expenses'!A:A, "&gt;="&amp;DATEVALUE(B56), 'June 2026 Expenses'!A:A, "&lt;="&amp;EOMONTH(DATEVALUE(B56), 0)))</f>
        <v>0</v>
      </c>
      <c r="F56" s="157">
        <f t="shared" si="2"/>
        <v>68256</v>
      </c>
      <c r="G56" s="110"/>
      <c r="H56" s="114">
        <v>26494.0</v>
      </c>
      <c r="I56" s="186"/>
      <c r="J56" s="114">
        <v>15250.0</v>
      </c>
      <c r="K56" s="93"/>
      <c r="L56" s="186"/>
      <c r="M56" s="186"/>
      <c r="N56" s="186"/>
      <c r="O56" s="93"/>
      <c r="P56" s="186"/>
      <c r="Q56" s="186"/>
      <c r="R56" s="186"/>
      <c r="S56" s="186"/>
      <c r="T56" s="186"/>
      <c r="U56" s="186"/>
      <c r="V56" s="186"/>
      <c r="W56" s="186"/>
      <c r="X56" s="186"/>
    </row>
    <row r="57" ht="15.75" customHeight="1">
      <c r="B57" s="59" t="s">
        <v>390</v>
      </c>
      <c r="C57" s="92">
        <f>Loans!$C$5</f>
        <v>110000</v>
      </c>
      <c r="D57" s="176">
        <f t="shared" si="1"/>
        <v>41744</v>
      </c>
      <c r="E57" s="176">
        <f>IF(B57="","",SUMIFS('June 2026 Expenses'!C:C, 'June 2026 Expenses'!A:A, "&gt;="&amp;DATEVALUE(B57), 'June 2026 Expenses'!A:A, "&lt;="&amp;EOMONTH(DATEVALUE(B57), 0)))</f>
        <v>0</v>
      </c>
      <c r="F57" s="180">
        <f t="shared" si="2"/>
        <v>68256</v>
      </c>
      <c r="G57" s="76"/>
      <c r="H57" s="78">
        <v>26494.0</v>
      </c>
      <c r="I57" s="186"/>
      <c r="J57" s="78">
        <v>15250.0</v>
      </c>
      <c r="K57" s="93"/>
      <c r="L57" s="186"/>
      <c r="M57" s="186"/>
      <c r="N57" s="186"/>
      <c r="O57" s="93"/>
      <c r="P57" s="186"/>
      <c r="Q57" s="186"/>
      <c r="R57" s="186"/>
      <c r="S57" s="186"/>
      <c r="T57" s="186"/>
      <c r="U57" s="186"/>
      <c r="V57" s="186"/>
      <c r="W57" s="186"/>
      <c r="X57" s="186"/>
    </row>
    <row r="58" ht="15.75" customHeight="1">
      <c r="B58" s="94" t="s">
        <v>391</v>
      </c>
      <c r="C58" s="95">
        <f>Loans!$C$5</f>
        <v>110000</v>
      </c>
      <c r="D58" s="153">
        <f t="shared" si="1"/>
        <v>41744</v>
      </c>
      <c r="E58" s="153">
        <f>IF(B58="","",SUMIFS('June 2026 Expenses'!C:C, 'June 2026 Expenses'!A:A, "&gt;="&amp;DATEVALUE(B58), 'June 2026 Expenses'!A:A, "&lt;="&amp;EOMONTH(DATEVALUE(B58), 0)))</f>
        <v>0</v>
      </c>
      <c r="F58" s="157">
        <f t="shared" si="2"/>
        <v>68256</v>
      </c>
      <c r="G58" s="110"/>
      <c r="H58" s="114">
        <v>26494.0</v>
      </c>
      <c r="I58" s="186"/>
      <c r="J58" s="114">
        <v>15250.0</v>
      </c>
      <c r="K58" s="93"/>
      <c r="L58" s="186"/>
      <c r="M58" s="186"/>
      <c r="N58" s="186"/>
      <c r="O58" s="93"/>
      <c r="P58" s="186"/>
      <c r="Q58" s="186"/>
      <c r="R58" s="186"/>
      <c r="S58" s="186"/>
      <c r="T58" s="186"/>
      <c r="U58" s="186"/>
      <c r="V58" s="186"/>
      <c r="W58" s="186"/>
      <c r="X58" s="186"/>
    </row>
    <row r="59" ht="15.75" customHeight="1">
      <c r="B59" s="86" t="s">
        <v>90</v>
      </c>
      <c r="C59" s="65">
        <f>Loans!$C$5</f>
        <v>110000</v>
      </c>
      <c r="D59" s="183">
        <f t="shared" si="1"/>
        <v>41744</v>
      </c>
      <c r="E59" s="183">
        <f>IF(B59="","",SUMIFS('June 2026 Expenses'!C:C, 'June 2026 Expenses'!A:A, "&gt;="&amp;DATEVALUE(B59), 'June 2026 Expenses'!A:A, "&lt;="&amp;EOMONTH(DATEVALUE(B59), 0)))</f>
        <v>0</v>
      </c>
      <c r="F59" s="184">
        <f t="shared" si="2"/>
        <v>68256</v>
      </c>
      <c r="G59" s="88" t="s">
        <v>392</v>
      </c>
      <c r="H59" s="89">
        <v>26494.0</v>
      </c>
      <c r="I59" s="186"/>
      <c r="J59" s="185">
        <v>15250.0</v>
      </c>
      <c r="K59" s="93"/>
      <c r="L59" s="186"/>
      <c r="M59" s="186"/>
      <c r="N59" s="186"/>
      <c r="O59" s="93"/>
      <c r="P59" s="186"/>
      <c r="Q59" s="186"/>
      <c r="R59" s="186"/>
      <c r="S59" s="186"/>
      <c r="T59" s="186"/>
      <c r="U59" s="186"/>
      <c r="V59" s="186"/>
      <c r="W59" s="186"/>
      <c r="X59" s="186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B1:W1"/>
    <mergeCell ref="B2:W2"/>
  </mergeCells>
  <dataValidations>
    <dataValidation type="custom" allowBlank="1" showDropDown="1" sqref="C5:F59 H5:J59 L5:N59 P5:X59">
      <formula1>AND(ISNUMBER(C5),(NOT(OR(NOT(ISERROR(DATEVALUE(C5))), AND(ISNUMBER(C5), LEFT(CELL("format", C5))="D")))))</formula1>
    </dataValidation>
    <dataValidation allowBlank="1" showDropDown="1" sqref="B5:B59 G5:G59"/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7.29"/>
    <col customWidth="1" min="2" max="2" width="31.86"/>
    <col customWidth="1" min="3" max="3" width="17.29"/>
    <col customWidth="1" min="4" max="4" width="35.86"/>
  </cols>
  <sheetData>
    <row r="1">
      <c r="A1" s="3" t="s">
        <v>1</v>
      </c>
    </row>
    <row r="3">
      <c r="A3" s="5" t="s">
        <v>2</v>
      </c>
      <c r="B3" s="5" t="s">
        <v>4</v>
      </c>
      <c r="C3" s="5" t="s">
        <v>5</v>
      </c>
      <c r="D3" s="5" t="s">
        <v>6</v>
      </c>
    </row>
    <row r="4">
      <c r="A4" s="7">
        <v>46174.0</v>
      </c>
      <c r="B4" s="8" t="s">
        <v>8</v>
      </c>
      <c r="C4" s="9">
        <v>1000.0</v>
      </c>
      <c r="D4" s="10">
        <v>46174.0</v>
      </c>
    </row>
    <row r="5">
      <c r="A5" s="7">
        <v>46175.0</v>
      </c>
      <c r="B5" s="8" t="s">
        <v>11</v>
      </c>
      <c r="C5" s="9">
        <v>12000.0</v>
      </c>
      <c r="D5" s="10">
        <v>46174.0</v>
      </c>
    </row>
    <row r="6">
      <c r="A6" s="7">
        <v>46176.0</v>
      </c>
      <c r="B6" s="8" t="s">
        <v>12</v>
      </c>
      <c r="C6" s="9">
        <v>2000.0</v>
      </c>
      <c r="D6" s="10">
        <v>46176.0</v>
      </c>
    </row>
    <row r="7">
      <c r="A7" s="7">
        <v>46177.0</v>
      </c>
      <c r="B7" s="8" t="s">
        <v>13</v>
      </c>
      <c r="C7" s="9">
        <v>3000.0</v>
      </c>
      <c r="D7" s="10">
        <v>46177.0</v>
      </c>
    </row>
    <row r="8">
      <c r="A8" s="7">
        <v>46178.0</v>
      </c>
      <c r="B8" s="14" t="s">
        <v>13</v>
      </c>
      <c r="C8" s="16">
        <v>1500.0</v>
      </c>
      <c r="D8" s="18">
        <v>46177.0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7">
        <v>46179.0</v>
      </c>
      <c r="B9" s="8" t="s">
        <v>24</v>
      </c>
      <c r="C9" s="9">
        <v>585.0</v>
      </c>
      <c r="D9" s="10">
        <v>46179.0</v>
      </c>
    </row>
    <row r="10">
      <c r="A10" s="7">
        <v>46180.0</v>
      </c>
      <c r="B10" s="8" t="s">
        <v>25</v>
      </c>
      <c r="C10" s="9">
        <v>4208.0</v>
      </c>
      <c r="D10" s="8" t="s">
        <v>26</v>
      </c>
    </row>
    <row r="11">
      <c r="A11" s="7">
        <v>46181.0</v>
      </c>
      <c r="B11" s="8" t="s">
        <v>12</v>
      </c>
      <c r="C11" s="9">
        <v>2000.0</v>
      </c>
      <c r="D11" s="25"/>
    </row>
    <row r="12">
      <c r="A12" s="7">
        <v>46182.0</v>
      </c>
      <c r="B12" s="8" t="s">
        <v>27</v>
      </c>
      <c r="C12" s="9">
        <v>2000.0</v>
      </c>
      <c r="D12" s="8" t="s">
        <v>28</v>
      </c>
    </row>
    <row r="13">
      <c r="A13" s="7">
        <v>46174.0</v>
      </c>
      <c r="B13" s="8" t="s">
        <v>29</v>
      </c>
      <c r="C13" s="9">
        <v>9975.0</v>
      </c>
      <c r="D13" s="8" t="s">
        <v>30</v>
      </c>
    </row>
    <row r="14">
      <c r="A14" s="7">
        <v>46174.0</v>
      </c>
      <c r="B14" s="8" t="s">
        <v>34</v>
      </c>
      <c r="C14" s="9">
        <v>185.0</v>
      </c>
      <c r="D14" s="8" t="s">
        <v>30</v>
      </c>
    </row>
    <row r="15">
      <c r="A15" s="7">
        <v>46174.0</v>
      </c>
      <c r="B15" s="8" t="s">
        <v>35</v>
      </c>
      <c r="C15" s="9">
        <v>650.0</v>
      </c>
      <c r="D15" s="8" t="s">
        <v>30</v>
      </c>
    </row>
    <row r="16">
      <c r="A16" s="7">
        <v>46174.0</v>
      </c>
      <c r="B16" s="8" t="s">
        <v>36</v>
      </c>
      <c r="C16" s="9">
        <v>5077.0</v>
      </c>
      <c r="D16" s="8" t="s">
        <v>37</v>
      </c>
    </row>
    <row r="17">
      <c r="A17" s="7">
        <v>46174.0</v>
      </c>
      <c r="B17" s="8" t="s">
        <v>38</v>
      </c>
      <c r="C17" s="9">
        <v>716.0</v>
      </c>
      <c r="D17" s="8" t="s">
        <v>39</v>
      </c>
    </row>
    <row r="18">
      <c r="A18" s="7">
        <v>46175.0</v>
      </c>
      <c r="B18" s="8" t="s">
        <v>40</v>
      </c>
      <c r="C18" s="9">
        <v>5000.0</v>
      </c>
      <c r="D18" s="8" t="s">
        <v>39</v>
      </c>
    </row>
    <row r="19">
      <c r="A19" s="7">
        <v>46176.0</v>
      </c>
      <c r="B19" s="8" t="s">
        <v>41</v>
      </c>
      <c r="C19" s="9">
        <v>2000.0</v>
      </c>
      <c r="D19" s="8" t="s">
        <v>39</v>
      </c>
    </row>
    <row r="20">
      <c r="A20" s="7">
        <v>46177.0</v>
      </c>
      <c r="B20" s="8" t="s">
        <v>43</v>
      </c>
      <c r="C20" s="9">
        <v>240.0</v>
      </c>
      <c r="D20" s="8" t="s">
        <v>39</v>
      </c>
    </row>
    <row r="21">
      <c r="A21" s="7">
        <v>46178.0</v>
      </c>
      <c r="B21" s="8" t="s">
        <v>45</v>
      </c>
      <c r="C21" s="9">
        <v>512.0</v>
      </c>
      <c r="D21" s="8" t="s">
        <v>46</v>
      </c>
    </row>
    <row r="22">
      <c r="A22" s="7">
        <v>46179.0</v>
      </c>
      <c r="B22" s="8" t="s">
        <v>49</v>
      </c>
      <c r="C22" s="9">
        <v>3000.0</v>
      </c>
      <c r="D22" s="8" t="s">
        <v>46</v>
      </c>
    </row>
    <row r="23">
      <c r="A23" s="7">
        <v>46180.0</v>
      </c>
      <c r="B23" s="8" t="s">
        <v>51</v>
      </c>
      <c r="C23" s="9">
        <v>15230.0</v>
      </c>
      <c r="D23" s="8" t="s">
        <v>46</v>
      </c>
    </row>
    <row r="24">
      <c r="A24" s="7">
        <v>46181.0</v>
      </c>
      <c r="B24" s="8" t="s">
        <v>53</v>
      </c>
      <c r="C24" s="9">
        <v>1950.0</v>
      </c>
      <c r="D24" s="8" t="s">
        <v>46</v>
      </c>
    </row>
    <row r="25">
      <c r="A25" s="7">
        <v>46182.0</v>
      </c>
      <c r="B25" s="8" t="s">
        <v>54</v>
      </c>
      <c r="C25" s="9">
        <v>500.0</v>
      </c>
      <c r="D25" s="8" t="s">
        <v>55</v>
      </c>
    </row>
    <row r="26">
      <c r="A26" s="7">
        <v>46183.0</v>
      </c>
      <c r="B26" s="8" t="s">
        <v>58</v>
      </c>
      <c r="C26" s="9">
        <v>850.0</v>
      </c>
      <c r="D26" s="8" t="s">
        <v>55</v>
      </c>
    </row>
    <row r="27">
      <c r="A27" s="7">
        <v>46184.0</v>
      </c>
      <c r="B27" s="8" t="s">
        <v>59</v>
      </c>
      <c r="C27" s="9">
        <v>3000.0</v>
      </c>
      <c r="D27" s="8" t="s">
        <v>60</v>
      </c>
    </row>
    <row r="28">
      <c r="A28" s="7">
        <v>46185.0</v>
      </c>
      <c r="B28" s="8" t="s">
        <v>63</v>
      </c>
      <c r="C28" s="9">
        <v>4000.0</v>
      </c>
      <c r="D28" s="8" t="s">
        <v>60</v>
      </c>
    </row>
    <row r="29">
      <c r="A29" s="7">
        <v>46186.0</v>
      </c>
      <c r="B29" s="8" t="s">
        <v>66</v>
      </c>
      <c r="C29" s="9">
        <v>9855.0</v>
      </c>
      <c r="D29" s="8" t="s">
        <v>67</v>
      </c>
    </row>
    <row r="30">
      <c r="A30" s="7">
        <v>46187.0</v>
      </c>
      <c r="B30" s="8" t="s">
        <v>69</v>
      </c>
      <c r="C30" s="9">
        <v>590.0</v>
      </c>
      <c r="D30" s="10">
        <v>46181.0</v>
      </c>
    </row>
    <row r="31">
      <c r="A31" s="7">
        <v>46188.0</v>
      </c>
      <c r="B31" s="8" t="s">
        <v>71</v>
      </c>
      <c r="C31" s="9">
        <v>2000.0</v>
      </c>
      <c r="D31" s="10">
        <v>46184.0</v>
      </c>
    </row>
    <row r="32">
      <c r="A32" s="7">
        <v>46189.0</v>
      </c>
      <c r="B32" s="8" t="s">
        <v>74</v>
      </c>
      <c r="C32" s="9">
        <v>6000.0</v>
      </c>
      <c r="D32" s="10">
        <v>46191.0</v>
      </c>
    </row>
    <row r="33">
      <c r="A33" s="7">
        <v>46174.0</v>
      </c>
      <c r="B33" s="8" t="s">
        <v>76</v>
      </c>
      <c r="C33" s="9">
        <v>1070.0</v>
      </c>
      <c r="D33" s="10">
        <v>46193.0</v>
      </c>
    </row>
    <row r="34">
      <c r="A34" s="7">
        <v>46174.0</v>
      </c>
      <c r="B34" s="8" t="s">
        <v>79</v>
      </c>
      <c r="C34" s="9">
        <v>5000.0</v>
      </c>
      <c r="D34" s="10">
        <v>46193.0</v>
      </c>
    </row>
    <row r="35">
      <c r="A35" s="7">
        <v>46174.0</v>
      </c>
      <c r="B35" s="8" t="s">
        <v>81</v>
      </c>
      <c r="C35" s="9">
        <v>850.0</v>
      </c>
      <c r="D35" s="10">
        <v>46194.0</v>
      </c>
    </row>
    <row r="36">
      <c r="A36" s="7">
        <v>46174.0</v>
      </c>
      <c r="B36" s="8" t="s">
        <v>83</v>
      </c>
      <c r="C36" s="9">
        <v>220.0</v>
      </c>
      <c r="D36" s="10">
        <v>46194.0</v>
      </c>
    </row>
    <row r="37">
      <c r="A37" s="7">
        <v>46174.0</v>
      </c>
      <c r="B37" s="8" t="s">
        <v>85</v>
      </c>
      <c r="C37" s="9">
        <v>27500.0</v>
      </c>
      <c r="D37" s="8" t="s">
        <v>86</v>
      </c>
    </row>
    <row r="38">
      <c r="A38" s="25"/>
      <c r="B38" s="25"/>
      <c r="C38" s="46"/>
      <c r="D38" s="25"/>
    </row>
    <row r="39">
      <c r="A39" s="25"/>
      <c r="B39" s="25"/>
      <c r="C39" s="46"/>
      <c r="D39" s="25"/>
    </row>
    <row r="40">
      <c r="A40" s="25"/>
      <c r="B40" s="25"/>
      <c r="C40" s="46"/>
      <c r="D40" s="25"/>
    </row>
    <row r="41">
      <c r="A41" s="25"/>
      <c r="B41" s="25"/>
      <c r="C41" s="46"/>
      <c r="D41" s="25"/>
    </row>
    <row r="42">
      <c r="A42" s="25"/>
      <c r="B42" s="25"/>
      <c r="C42" s="46"/>
      <c r="D42" s="25"/>
    </row>
    <row r="43">
      <c r="A43" s="25"/>
      <c r="B43" s="25"/>
      <c r="C43" s="46"/>
      <c r="D43" s="25"/>
    </row>
    <row r="44">
      <c r="A44" s="25"/>
      <c r="B44" s="25"/>
      <c r="C44" s="46"/>
      <c r="D44" s="25"/>
    </row>
    <row r="45">
      <c r="A45" s="25"/>
      <c r="B45" s="25"/>
      <c r="C45" s="46"/>
      <c r="D45" s="25"/>
    </row>
    <row r="46">
      <c r="A46" s="25"/>
      <c r="B46" s="25"/>
      <c r="C46" s="46"/>
      <c r="D46" s="25"/>
    </row>
    <row r="47">
      <c r="A47" s="25"/>
      <c r="B47" s="25"/>
      <c r="C47" s="46"/>
      <c r="D47" s="25"/>
    </row>
    <row r="48">
      <c r="A48" s="25"/>
      <c r="B48" s="25"/>
      <c r="C48" s="46"/>
      <c r="D48" s="25"/>
    </row>
    <row r="49">
      <c r="A49" s="25"/>
      <c r="B49" s="25"/>
      <c r="C49" s="46"/>
      <c r="D49" s="25"/>
    </row>
    <row r="50">
      <c r="A50" s="25"/>
      <c r="B50" s="25"/>
      <c r="C50" s="46"/>
      <c r="D50" s="25"/>
    </row>
    <row r="51">
      <c r="A51" s="25"/>
      <c r="B51" s="25"/>
      <c r="C51" s="46"/>
      <c r="D51" s="25"/>
    </row>
    <row r="52">
      <c r="A52" s="25"/>
      <c r="B52" s="25"/>
      <c r="C52" s="46"/>
      <c r="D52" s="25"/>
    </row>
    <row r="53">
      <c r="A53" s="25"/>
      <c r="B53" s="25"/>
      <c r="C53" s="46"/>
      <c r="D53" s="25"/>
    </row>
    <row r="54">
      <c r="A54" s="25"/>
      <c r="B54" s="25"/>
      <c r="C54" s="46"/>
      <c r="D54" s="25"/>
    </row>
    <row r="55">
      <c r="A55" s="25"/>
      <c r="B55" s="25"/>
      <c r="C55" s="46"/>
      <c r="D55" s="25"/>
    </row>
    <row r="56">
      <c r="A56" s="25"/>
      <c r="B56" s="25"/>
      <c r="C56" s="46"/>
      <c r="D56" s="25"/>
    </row>
    <row r="57">
      <c r="A57" s="25"/>
      <c r="B57" s="25"/>
      <c r="C57" s="46"/>
      <c r="D57" s="25"/>
    </row>
    <row r="58">
      <c r="A58" s="25"/>
      <c r="B58" s="25"/>
      <c r="C58" s="46"/>
      <c r="D58" s="25"/>
    </row>
    <row r="59">
      <c r="A59" s="25"/>
      <c r="B59" s="25"/>
      <c r="C59" s="46"/>
      <c r="D59" s="25"/>
    </row>
    <row r="60">
      <c r="A60" s="25"/>
      <c r="B60" s="25"/>
      <c r="C60" s="46"/>
      <c r="D60" s="25"/>
    </row>
    <row r="61">
      <c r="A61" s="25"/>
      <c r="B61" s="25"/>
      <c r="C61" s="46"/>
      <c r="D61" s="25"/>
    </row>
    <row r="62">
      <c r="A62" s="25"/>
      <c r="B62" s="25"/>
      <c r="C62" s="46"/>
      <c r="D62" s="25"/>
    </row>
    <row r="63">
      <c r="A63" s="25"/>
      <c r="B63" s="25"/>
      <c r="C63" s="46"/>
      <c r="D63" s="25"/>
    </row>
    <row r="64">
      <c r="A64" s="25"/>
      <c r="B64" s="25"/>
      <c r="C64" s="46"/>
      <c r="D64" s="25"/>
    </row>
    <row r="65">
      <c r="A65" s="25"/>
      <c r="B65" s="25"/>
      <c r="C65" s="46"/>
      <c r="D65" s="25"/>
    </row>
    <row r="66">
      <c r="A66" s="25"/>
      <c r="B66" s="25"/>
      <c r="C66" s="46"/>
      <c r="D66" s="25"/>
    </row>
    <row r="67">
      <c r="A67" s="25"/>
      <c r="B67" s="25"/>
      <c r="C67" s="46"/>
      <c r="D67" s="25"/>
    </row>
    <row r="68">
      <c r="A68" s="25"/>
      <c r="B68" s="25"/>
      <c r="C68" s="46"/>
      <c r="D68" s="25"/>
    </row>
    <row r="69">
      <c r="A69" s="25"/>
      <c r="B69" s="25"/>
      <c r="C69" s="46"/>
      <c r="D69" s="25"/>
    </row>
    <row r="70">
      <c r="A70" s="25"/>
      <c r="B70" s="25"/>
      <c r="C70" s="46"/>
      <c r="D70" s="25"/>
    </row>
    <row r="71">
      <c r="A71" s="25"/>
      <c r="B71" s="25"/>
      <c r="C71" s="46"/>
      <c r="D71" s="25"/>
    </row>
    <row r="72">
      <c r="A72" s="25"/>
      <c r="B72" s="25"/>
      <c r="C72" s="46"/>
      <c r="D72" s="25"/>
    </row>
    <row r="73">
      <c r="A73" s="25"/>
      <c r="B73" s="25"/>
      <c r="C73" s="46"/>
      <c r="D73" s="25"/>
    </row>
    <row r="74">
      <c r="A74" s="25"/>
      <c r="B74" s="25"/>
      <c r="C74" s="46"/>
      <c r="D74" s="25"/>
    </row>
    <row r="75">
      <c r="A75" s="25"/>
      <c r="B75" s="25"/>
      <c r="C75" s="46"/>
      <c r="D75" s="25"/>
    </row>
    <row r="76">
      <c r="A76" s="25"/>
      <c r="B76" s="25"/>
      <c r="C76" s="46"/>
      <c r="D76" s="25"/>
    </row>
    <row r="77">
      <c r="A77" s="25"/>
      <c r="B77" s="25"/>
      <c r="C77" s="46"/>
      <c r="D77" s="25"/>
    </row>
    <row r="78">
      <c r="A78" s="25"/>
      <c r="B78" s="25"/>
      <c r="C78" s="46"/>
      <c r="D78" s="25"/>
    </row>
    <row r="79">
      <c r="A79" s="25"/>
      <c r="B79" s="25"/>
      <c r="C79" s="46"/>
      <c r="D79" s="25"/>
    </row>
    <row r="80">
      <c r="A80" s="25"/>
      <c r="B80" s="25"/>
      <c r="C80" s="46"/>
      <c r="D80" s="25"/>
    </row>
    <row r="81">
      <c r="A81" s="25"/>
      <c r="B81" s="25"/>
      <c r="C81" s="46"/>
      <c r="D81" s="25"/>
    </row>
    <row r="82">
      <c r="A82" s="25"/>
      <c r="B82" s="25"/>
      <c r="C82" s="46"/>
      <c r="D82" s="25"/>
    </row>
    <row r="83">
      <c r="A83" s="25"/>
      <c r="B83" s="25"/>
      <c r="C83" s="46"/>
      <c r="D83" s="25"/>
    </row>
    <row r="84">
      <c r="A84" s="25"/>
      <c r="B84" s="25"/>
      <c r="C84" s="46"/>
      <c r="D84" s="25"/>
    </row>
    <row r="85">
      <c r="A85" s="25"/>
      <c r="B85" s="25"/>
      <c r="C85" s="46"/>
      <c r="D85" s="25"/>
    </row>
    <row r="86">
      <c r="A86" s="25"/>
      <c r="B86" s="25"/>
      <c r="C86" s="46"/>
      <c r="D86" s="25"/>
    </row>
    <row r="87">
      <c r="A87" s="25"/>
      <c r="B87" s="25"/>
      <c r="C87" s="46"/>
      <c r="D87" s="25"/>
    </row>
    <row r="88">
      <c r="A88" s="25"/>
      <c r="B88" s="25"/>
      <c r="C88" s="46"/>
      <c r="D88" s="25"/>
    </row>
    <row r="89">
      <c r="A89" s="25"/>
      <c r="B89" s="25"/>
      <c r="C89" s="46"/>
      <c r="D89" s="25"/>
    </row>
    <row r="90">
      <c r="A90" s="25"/>
      <c r="B90" s="25"/>
      <c r="C90" s="46"/>
      <c r="D90" s="25"/>
    </row>
    <row r="91">
      <c r="A91" s="25"/>
      <c r="B91" s="25"/>
      <c r="C91" s="46"/>
      <c r="D91" s="25"/>
    </row>
    <row r="92">
      <c r="A92" s="25"/>
      <c r="B92" s="25"/>
      <c r="C92" s="46"/>
      <c r="D92" s="25"/>
    </row>
    <row r="93">
      <c r="A93" s="25"/>
      <c r="B93" s="25"/>
      <c r="C93" s="46"/>
      <c r="D93" s="25"/>
    </row>
    <row r="94">
      <c r="A94" s="25"/>
      <c r="B94" s="25"/>
      <c r="C94" s="46"/>
      <c r="D94" s="25"/>
    </row>
    <row r="95">
      <c r="A95" s="25"/>
      <c r="B95" s="25"/>
      <c r="C95" s="46"/>
      <c r="D95" s="25"/>
    </row>
    <row r="96">
      <c r="A96" s="25"/>
      <c r="B96" s="25"/>
      <c r="C96" s="46"/>
      <c r="D96" s="25"/>
    </row>
    <row r="97">
      <c r="A97" s="25"/>
      <c r="B97" s="25"/>
      <c r="C97" s="46"/>
      <c r="D97" s="25"/>
    </row>
    <row r="98">
      <c r="A98" s="25"/>
      <c r="B98" s="25"/>
      <c r="C98" s="46"/>
      <c r="D98" s="25"/>
    </row>
    <row r="99">
      <c r="A99" s="25"/>
      <c r="B99" s="25"/>
      <c r="C99" s="46"/>
      <c r="D99" s="25"/>
    </row>
    <row r="100">
      <c r="A100" s="25"/>
      <c r="B100" s="25"/>
      <c r="C100" s="46"/>
      <c r="D100" s="25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14"/>
    <col customWidth="1" min="2" max="2" width="11.57"/>
    <col customWidth="1" min="3" max="3" width="17.29"/>
    <col customWidth="1" min="4" max="5" width="21.57"/>
    <col customWidth="1" min="6" max="7" width="17.29"/>
  </cols>
  <sheetData>
    <row r="1" ht="6.75" customHeight="1"/>
    <row r="2">
      <c r="B2" s="12" t="s">
        <v>10</v>
      </c>
    </row>
    <row r="4">
      <c r="B4" s="15" t="s">
        <v>14</v>
      </c>
      <c r="C4" s="15" t="s">
        <v>17</v>
      </c>
      <c r="D4" s="15" t="s">
        <v>18</v>
      </c>
      <c r="E4" s="15" t="s">
        <v>19</v>
      </c>
      <c r="F4" s="15" t="s">
        <v>20</v>
      </c>
      <c r="G4" s="15" t="s">
        <v>21</v>
      </c>
      <c r="H4" s="24" t="s">
        <v>22</v>
      </c>
    </row>
    <row r="5">
      <c r="B5" s="26">
        <v>55.8</v>
      </c>
      <c r="C5" s="28">
        <v>0.11</v>
      </c>
      <c r="D5" s="26" t="s">
        <v>31</v>
      </c>
      <c r="E5" s="26" t="s">
        <v>32</v>
      </c>
      <c r="F5" s="29">
        <v>391560.0</v>
      </c>
      <c r="G5" s="30">
        <v>46010.0</v>
      </c>
      <c r="H5" s="32">
        <f t="shared" ref="H5:H9" si="1">IF(OR(ISBLANK(F5), ISBLANK(G5), ISBLANK(C5)), 0, F5 * C5 * (TODAY() - G5) / 365)</f>
        <v>35047.30192</v>
      </c>
    </row>
    <row r="6">
      <c r="B6" s="26">
        <v>30.0</v>
      </c>
      <c r="C6" s="28">
        <v>0.1</v>
      </c>
      <c r="D6" s="26" t="s">
        <v>31</v>
      </c>
      <c r="E6" s="26" t="s">
        <v>70</v>
      </c>
      <c r="F6" s="29">
        <v>229500.0</v>
      </c>
      <c r="G6" s="30">
        <v>45966.0</v>
      </c>
      <c r="H6" s="32">
        <f t="shared" si="1"/>
        <v>21440.9589</v>
      </c>
    </row>
    <row r="7">
      <c r="B7" s="26">
        <v>36.9</v>
      </c>
      <c r="C7" s="28">
        <v>0.105</v>
      </c>
      <c r="D7" s="26" t="s">
        <v>31</v>
      </c>
      <c r="E7" s="26" t="s">
        <v>77</v>
      </c>
      <c r="F7" s="29">
        <v>300000.0</v>
      </c>
      <c r="G7" s="30">
        <v>46169.0</v>
      </c>
      <c r="H7" s="32">
        <f t="shared" si="1"/>
        <v>11909.58904</v>
      </c>
    </row>
    <row r="8">
      <c r="B8" s="26">
        <v>15.0</v>
      </c>
      <c r="C8" s="43"/>
      <c r="D8" s="26" t="s">
        <v>31</v>
      </c>
      <c r="E8" s="26" t="s">
        <v>77</v>
      </c>
      <c r="F8" s="29">
        <v>135000.0</v>
      </c>
      <c r="G8" s="30">
        <v>46178.0</v>
      </c>
      <c r="H8" s="32">
        <f t="shared" si="1"/>
        <v>0</v>
      </c>
    </row>
    <row r="9">
      <c r="B9" s="47"/>
      <c r="C9" s="43"/>
      <c r="D9" s="26" t="s">
        <v>31</v>
      </c>
      <c r="E9" s="26" t="s">
        <v>92</v>
      </c>
      <c r="F9" s="29">
        <v>297698.0</v>
      </c>
      <c r="G9" s="30">
        <v>46035.0</v>
      </c>
      <c r="H9" s="32">
        <f t="shared" si="1"/>
        <v>0</v>
      </c>
    </row>
    <row r="10">
      <c r="B10" s="47"/>
      <c r="C10" s="43"/>
      <c r="D10" s="47"/>
      <c r="E10" s="47"/>
      <c r="F10" s="50"/>
      <c r="G10" s="51"/>
      <c r="H10" s="32" t="str">
        <f t="shared" ref="H10:H96" si="2">IF(OR(ISBLANK(F10), ISBLANK(G10)), "", F10 * (C10/100) * (TODAY() - G10) / 365)</f>
        <v/>
      </c>
    </row>
    <row r="11">
      <c r="B11" s="47"/>
      <c r="C11" s="43"/>
      <c r="D11" s="47"/>
      <c r="E11" s="47"/>
      <c r="F11" s="50"/>
      <c r="G11" s="51"/>
      <c r="H11" s="32" t="str">
        <f t="shared" si="2"/>
        <v/>
      </c>
    </row>
    <row r="12">
      <c r="B12" s="47"/>
      <c r="C12" s="43"/>
      <c r="D12" s="47"/>
      <c r="E12" s="47"/>
      <c r="F12" s="50"/>
      <c r="G12" s="51"/>
      <c r="H12" s="32" t="str">
        <f t="shared" si="2"/>
        <v/>
      </c>
    </row>
    <row r="13">
      <c r="B13" s="47"/>
      <c r="C13" s="43"/>
      <c r="D13" s="47"/>
      <c r="E13" s="47"/>
      <c r="F13" s="50"/>
      <c r="G13" s="51"/>
      <c r="H13" s="32" t="str">
        <f t="shared" si="2"/>
        <v/>
      </c>
    </row>
    <row r="14">
      <c r="B14" s="47"/>
      <c r="C14" s="43"/>
      <c r="D14" s="47"/>
      <c r="E14" s="47"/>
      <c r="F14" s="50"/>
      <c r="G14" s="51"/>
      <c r="H14" s="32" t="str">
        <f t="shared" si="2"/>
        <v/>
      </c>
    </row>
    <row r="15">
      <c r="B15" s="47"/>
      <c r="C15" s="43"/>
      <c r="D15" s="47"/>
      <c r="E15" s="47"/>
      <c r="F15" s="50"/>
      <c r="G15" s="51"/>
      <c r="H15" s="32" t="str">
        <f t="shared" si="2"/>
        <v/>
      </c>
    </row>
    <row r="16">
      <c r="B16" s="47"/>
      <c r="C16" s="43"/>
      <c r="D16" s="47"/>
      <c r="E16" s="47"/>
      <c r="F16" s="50"/>
      <c r="G16" s="51"/>
      <c r="H16" s="32" t="str">
        <f t="shared" si="2"/>
        <v/>
      </c>
    </row>
    <row r="17">
      <c r="B17" s="47"/>
      <c r="C17" s="43"/>
      <c r="D17" s="47"/>
      <c r="E17" s="47"/>
      <c r="F17" s="50"/>
      <c r="G17" s="51"/>
      <c r="H17" s="32" t="str">
        <f t="shared" si="2"/>
        <v/>
      </c>
    </row>
    <row r="18">
      <c r="B18" s="47"/>
      <c r="C18" s="43"/>
      <c r="D18" s="47"/>
      <c r="E18" s="47"/>
      <c r="F18" s="50"/>
      <c r="G18" s="51"/>
      <c r="H18" s="32" t="str">
        <f t="shared" si="2"/>
        <v/>
      </c>
    </row>
    <row r="19">
      <c r="B19" s="47"/>
      <c r="C19" s="43"/>
      <c r="D19" s="47"/>
      <c r="E19" s="47"/>
      <c r="F19" s="50"/>
      <c r="G19" s="51"/>
      <c r="H19" s="32" t="str">
        <f t="shared" si="2"/>
        <v/>
      </c>
    </row>
    <row r="20">
      <c r="B20" s="47"/>
      <c r="C20" s="43"/>
      <c r="D20" s="47"/>
      <c r="E20" s="47"/>
      <c r="F20" s="50"/>
      <c r="G20" s="51"/>
      <c r="H20" s="32" t="str">
        <f t="shared" si="2"/>
        <v/>
      </c>
    </row>
    <row r="21">
      <c r="B21" s="47"/>
      <c r="C21" s="43"/>
      <c r="D21" s="47"/>
      <c r="E21" s="47"/>
      <c r="F21" s="50"/>
      <c r="G21" s="51"/>
      <c r="H21" s="32" t="str">
        <f t="shared" si="2"/>
        <v/>
      </c>
    </row>
    <row r="22">
      <c r="B22" s="47"/>
      <c r="C22" s="43"/>
      <c r="D22" s="47"/>
      <c r="E22" s="47"/>
      <c r="F22" s="50"/>
      <c r="G22" s="51"/>
      <c r="H22" s="32" t="str">
        <f t="shared" si="2"/>
        <v/>
      </c>
    </row>
    <row r="23">
      <c r="B23" s="47"/>
      <c r="C23" s="43"/>
      <c r="D23" s="47"/>
      <c r="E23" s="47"/>
      <c r="F23" s="50"/>
      <c r="G23" s="51"/>
      <c r="H23" s="32" t="str">
        <f t="shared" si="2"/>
        <v/>
      </c>
    </row>
    <row r="24">
      <c r="B24" s="47"/>
      <c r="C24" s="43"/>
      <c r="D24" s="47"/>
      <c r="E24" s="47"/>
      <c r="F24" s="50"/>
      <c r="G24" s="51"/>
      <c r="H24" s="32" t="str">
        <f t="shared" si="2"/>
        <v/>
      </c>
    </row>
    <row r="25">
      <c r="B25" s="47"/>
      <c r="C25" s="43"/>
      <c r="D25" s="47"/>
      <c r="E25" s="47"/>
      <c r="F25" s="50"/>
      <c r="G25" s="51"/>
      <c r="H25" s="32" t="str">
        <f t="shared" si="2"/>
        <v/>
      </c>
    </row>
    <row r="26">
      <c r="B26" s="47"/>
      <c r="C26" s="43"/>
      <c r="D26" s="47"/>
      <c r="E26" s="47"/>
      <c r="F26" s="50"/>
      <c r="G26" s="51"/>
      <c r="H26" s="32" t="str">
        <f t="shared" si="2"/>
        <v/>
      </c>
    </row>
    <row r="27">
      <c r="B27" s="47"/>
      <c r="C27" s="43"/>
      <c r="D27" s="47"/>
      <c r="E27" s="47"/>
      <c r="F27" s="50"/>
      <c r="G27" s="51"/>
      <c r="H27" s="32" t="str">
        <f t="shared" si="2"/>
        <v/>
      </c>
    </row>
    <row r="28">
      <c r="B28" s="47"/>
      <c r="C28" s="43"/>
      <c r="D28" s="47"/>
      <c r="E28" s="47"/>
      <c r="F28" s="50"/>
      <c r="G28" s="51"/>
      <c r="H28" s="32" t="str">
        <f t="shared" si="2"/>
        <v/>
      </c>
    </row>
    <row r="29">
      <c r="B29" s="47"/>
      <c r="C29" s="43"/>
      <c r="D29" s="47"/>
      <c r="E29" s="47"/>
      <c r="F29" s="50"/>
      <c r="G29" s="51"/>
      <c r="H29" s="32" t="str">
        <f t="shared" si="2"/>
        <v/>
      </c>
    </row>
    <row r="30">
      <c r="B30" s="47"/>
      <c r="C30" s="43"/>
      <c r="D30" s="47"/>
      <c r="E30" s="47"/>
      <c r="F30" s="50"/>
      <c r="G30" s="51"/>
      <c r="H30" s="32" t="str">
        <f t="shared" si="2"/>
        <v/>
      </c>
    </row>
    <row r="31">
      <c r="B31" s="47"/>
      <c r="C31" s="43"/>
      <c r="D31" s="47"/>
      <c r="E31" s="47"/>
      <c r="F31" s="50"/>
      <c r="G31" s="51"/>
      <c r="H31" s="32" t="str">
        <f t="shared" si="2"/>
        <v/>
      </c>
    </row>
    <row r="32">
      <c r="B32" s="47"/>
      <c r="C32" s="43"/>
      <c r="D32" s="47"/>
      <c r="E32" s="47"/>
      <c r="F32" s="50"/>
      <c r="G32" s="51"/>
      <c r="H32" s="32" t="str">
        <f t="shared" si="2"/>
        <v/>
      </c>
    </row>
    <row r="33">
      <c r="B33" s="47"/>
      <c r="C33" s="43"/>
      <c r="D33" s="47"/>
      <c r="E33" s="47"/>
      <c r="F33" s="50"/>
      <c r="G33" s="51"/>
      <c r="H33" s="32" t="str">
        <f t="shared" si="2"/>
        <v/>
      </c>
    </row>
    <row r="34">
      <c r="B34" s="47"/>
      <c r="C34" s="43"/>
      <c r="D34" s="47"/>
      <c r="E34" s="47"/>
      <c r="F34" s="50"/>
      <c r="G34" s="51"/>
      <c r="H34" s="32" t="str">
        <f t="shared" si="2"/>
        <v/>
      </c>
    </row>
    <row r="35">
      <c r="B35" s="47"/>
      <c r="C35" s="43"/>
      <c r="D35" s="47"/>
      <c r="E35" s="47"/>
      <c r="F35" s="50"/>
      <c r="G35" s="51"/>
      <c r="H35" s="32" t="str">
        <f t="shared" si="2"/>
        <v/>
      </c>
    </row>
    <row r="36">
      <c r="B36" s="47"/>
      <c r="C36" s="43"/>
      <c r="D36" s="47"/>
      <c r="E36" s="47"/>
      <c r="F36" s="50"/>
      <c r="G36" s="51"/>
      <c r="H36" s="32" t="str">
        <f t="shared" si="2"/>
        <v/>
      </c>
    </row>
    <row r="37">
      <c r="B37" s="47"/>
      <c r="C37" s="43"/>
      <c r="D37" s="47"/>
      <c r="E37" s="47"/>
      <c r="F37" s="50"/>
      <c r="G37" s="51"/>
      <c r="H37" s="32" t="str">
        <f t="shared" si="2"/>
        <v/>
      </c>
    </row>
    <row r="38">
      <c r="B38" s="47"/>
      <c r="C38" s="43"/>
      <c r="D38" s="47"/>
      <c r="E38" s="47"/>
      <c r="F38" s="50"/>
      <c r="G38" s="51"/>
      <c r="H38" s="32" t="str">
        <f t="shared" si="2"/>
        <v/>
      </c>
    </row>
    <row r="39">
      <c r="B39" s="47"/>
      <c r="C39" s="43"/>
      <c r="D39" s="47"/>
      <c r="E39" s="47"/>
      <c r="F39" s="50"/>
      <c r="G39" s="51"/>
      <c r="H39" s="32" t="str">
        <f t="shared" si="2"/>
        <v/>
      </c>
    </row>
    <row r="40">
      <c r="B40" s="47"/>
      <c r="C40" s="43"/>
      <c r="D40" s="47"/>
      <c r="E40" s="47"/>
      <c r="F40" s="50"/>
      <c r="G40" s="51"/>
      <c r="H40" s="32" t="str">
        <f t="shared" si="2"/>
        <v/>
      </c>
    </row>
    <row r="41">
      <c r="B41" s="47"/>
      <c r="C41" s="43"/>
      <c r="D41" s="47"/>
      <c r="E41" s="47"/>
      <c r="F41" s="50"/>
      <c r="G41" s="51"/>
      <c r="H41" s="32" t="str">
        <f t="shared" si="2"/>
        <v/>
      </c>
    </row>
    <row r="42">
      <c r="B42" s="47"/>
      <c r="C42" s="43"/>
      <c r="D42" s="47"/>
      <c r="E42" s="47"/>
      <c r="F42" s="50"/>
      <c r="G42" s="51"/>
      <c r="H42" s="32" t="str">
        <f t="shared" si="2"/>
        <v/>
      </c>
    </row>
    <row r="43">
      <c r="B43" s="47"/>
      <c r="C43" s="43"/>
      <c r="D43" s="47"/>
      <c r="E43" s="47"/>
      <c r="F43" s="50"/>
      <c r="G43" s="51"/>
      <c r="H43" s="32" t="str">
        <f t="shared" si="2"/>
        <v/>
      </c>
    </row>
    <row r="44">
      <c r="B44" s="47"/>
      <c r="C44" s="43"/>
      <c r="D44" s="47"/>
      <c r="E44" s="47"/>
      <c r="F44" s="50"/>
      <c r="G44" s="51"/>
      <c r="H44" s="32" t="str">
        <f t="shared" si="2"/>
        <v/>
      </c>
    </row>
    <row r="45">
      <c r="B45" s="47"/>
      <c r="C45" s="43"/>
      <c r="D45" s="47"/>
      <c r="E45" s="47"/>
      <c r="F45" s="50"/>
      <c r="G45" s="51"/>
      <c r="H45" s="32" t="str">
        <f t="shared" si="2"/>
        <v/>
      </c>
    </row>
    <row r="46">
      <c r="B46" s="47"/>
      <c r="C46" s="43"/>
      <c r="D46" s="47"/>
      <c r="E46" s="47"/>
      <c r="F46" s="50"/>
      <c r="G46" s="51"/>
      <c r="H46" s="32" t="str">
        <f t="shared" si="2"/>
        <v/>
      </c>
    </row>
    <row r="47">
      <c r="B47" s="47"/>
      <c r="C47" s="43"/>
      <c r="D47" s="47"/>
      <c r="E47" s="47"/>
      <c r="F47" s="50"/>
      <c r="G47" s="51"/>
      <c r="H47" s="32" t="str">
        <f t="shared" si="2"/>
        <v/>
      </c>
    </row>
    <row r="48">
      <c r="B48" s="47"/>
      <c r="C48" s="43"/>
      <c r="D48" s="47"/>
      <c r="E48" s="47"/>
      <c r="F48" s="50"/>
      <c r="G48" s="51"/>
      <c r="H48" s="32" t="str">
        <f t="shared" si="2"/>
        <v/>
      </c>
    </row>
    <row r="49">
      <c r="B49" s="47"/>
      <c r="C49" s="43"/>
      <c r="D49" s="47"/>
      <c r="E49" s="47"/>
      <c r="F49" s="50"/>
      <c r="G49" s="51"/>
      <c r="H49" s="32" t="str">
        <f t="shared" si="2"/>
        <v/>
      </c>
    </row>
    <row r="50">
      <c r="B50" s="47"/>
      <c r="C50" s="43"/>
      <c r="D50" s="47"/>
      <c r="E50" s="47"/>
      <c r="F50" s="50"/>
      <c r="G50" s="51"/>
      <c r="H50" s="32" t="str">
        <f t="shared" si="2"/>
        <v/>
      </c>
    </row>
    <row r="51">
      <c r="B51" s="47"/>
      <c r="C51" s="43"/>
      <c r="D51" s="47"/>
      <c r="E51" s="47"/>
      <c r="F51" s="50"/>
      <c r="G51" s="51"/>
      <c r="H51" s="32" t="str">
        <f t="shared" si="2"/>
        <v/>
      </c>
    </row>
    <row r="52">
      <c r="B52" s="47"/>
      <c r="C52" s="43"/>
      <c r="D52" s="47"/>
      <c r="E52" s="47"/>
      <c r="F52" s="50"/>
      <c r="G52" s="51"/>
      <c r="H52" s="32" t="str">
        <f t="shared" si="2"/>
        <v/>
      </c>
    </row>
    <row r="53">
      <c r="B53" s="47"/>
      <c r="C53" s="43"/>
      <c r="D53" s="47"/>
      <c r="E53" s="47"/>
      <c r="F53" s="50"/>
      <c r="G53" s="51"/>
      <c r="H53" s="32" t="str">
        <f t="shared" si="2"/>
        <v/>
      </c>
    </row>
    <row r="54">
      <c r="B54" s="47"/>
      <c r="C54" s="43"/>
      <c r="D54" s="47"/>
      <c r="E54" s="47"/>
      <c r="F54" s="50"/>
      <c r="G54" s="51"/>
      <c r="H54" s="32" t="str">
        <f t="shared" si="2"/>
        <v/>
      </c>
    </row>
    <row r="55">
      <c r="B55" s="47"/>
      <c r="C55" s="43"/>
      <c r="D55" s="47"/>
      <c r="E55" s="47"/>
      <c r="F55" s="50"/>
      <c r="G55" s="51"/>
      <c r="H55" s="32" t="str">
        <f t="shared" si="2"/>
        <v/>
      </c>
    </row>
    <row r="56">
      <c r="B56" s="47"/>
      <c r="C56" s="43"/>
      <c r="D56" s="47"/>
      <c r="E56" s="47"/>
      <c r="F56" s="50"/>
      <c r="G56" s="51"/>
      <c r="H56" s="32" t="str">
        <f t="shared" si="2"/>
        <v/>
      </c>
    </row>
    <row r="57">
      <c r="B57" s="47"/>
      <c r="C57" s="43"/>
      <c r="D57" s="47"/>
      <c r="E57" s="47"/>
      <c r="F57" s="50"/>
      <c r="G57" s="51"/>
      <c r="H57" s="32" t="str">
        <f t="shared" si="2"/>
        <v/>
      </c>
    </row>
    <row r="58">
      <c r="B58" s="47"/>
      <c r="C58" s="43"/>
      <c r="D58" s="47"/>
      <c r="E58" s="47"/>
      <c r="F58" s="50"/>
      <c r="G58" s="51"/>
      <c r="H58" s="32" t="str">
        <f t="shared" si="2"/>
        <v/>
      </c>
    </row>
    <row r="59">
      <c r="B59" s="47"/>
      <c r="C59" s="43"/>
      <c r="D59" s="47"/>
      <c r="E59" s="47"/>
      <c r="F59" s="50"/>
      <c r="G59" s="51"/>
      <c r="H59" s="32" t="str">
        <f t="shared" si="2"/>
        <v/>
      </c>
    </row>
    <row r="60">
      <c r="B60" s="47"/>
      <c r="C60" s="43"/>
      <c r="D60" s="47"/>
      <c r="E60" s="47"/>
      <c r="F60" s="50"/>
      <c r="G60" s="51"/>
      <c r="H60" s="32" t="str">
        <f t="shared" si="2"/>
        <v/>
      </c>
    </row>
    <row r="61">
      <c r="B61" s="47"/>
      <c r="C61" s="43"/>
      <c r="D61" s="47"/>
      <c r="E61" s="47"/>
      <c r="F61" s="50"/>
      <c r="G61" s="51"/>
      <c r="H61" s="32" t="str">
        <f t="shared" si="2"/>
        <v/>
      </c>
    </row>
    <row r="62">
      <c r="B62" s="47"/>
      <c r="C62" s="43"/>
      <c r="D62" s="47"/>
      <c r="E62" s="47"/>
      <c r="F62" s="50"/>
      <c r="G62" s="51"/>
      <c r="H62" s="32" t="str">
        <f t="shared" si="2"/>
        <v/>
      </c>
    </row>
    <row r="63">
      <c r="B63" s="47"/>
      <c r="C63" s="43"/>
      <c r="D63" s="47"/>
      <c r="E63" s="47"/>
      <c r="F63" s="50"/>
      <c r="G63" s="51"/>
      <c r="H63" s="32" t="str">
        <f t="shared" si="2"/>
        <v/>
      </c>
    </row>
    <row r="64">
      <c r="B64" s="47"/>
      <c r="C64" s="43"/>
      <c r="D64" s="47"/>
      <c r="E64" s="47"/>
      <c r="F64" s="50"/>
      <c r="G64" s="51"/>
      <c r="H64" s="32" t="str">
        <f t="shared" si="2"/>
        <v/>
      </c>
    </row>
    <row r="65">
      <c r="B65" s="47"/>
      <c r="C65" s="43"/>
      <c r="D65" s="47"/>
      <c r="E65" s="47"/>
      <c r="F65" s="50"/>
      <c r="G65" s="51"/>
      <c r="H65" s="32" t="str">
        <f t="shared" si="2"/>
        <v/>
      </c>
    </row>
    <row r="66">
      <c r="B66" s="47"/>
      <c r="C66" s="43"/>
      <c r="D66" s="47"/>
      <c r="E66" s="47"/>
      <c r="F66" s="50"/>
      <c r="G66" s="51"/>
      <c r="H66" s="32" t="str">
        <f t="shared" si="2"/>
        <v/>
      </c>
    </row>
    <row r="67">
      <c r="B67" s="47"/>
      <c r="C67" s="43"/>
      <c r="D67" s="47"/>
      <c r="E67" s="47"/>
      <c r="F67" s="50"/>
      <c r="G67" s="51"/>
      <c r="H67" s="32" t="str">
        <f t="shared" si="2"/>
        <v/>
      </c>
    </row>
    <row r="68">
      <c r="B68" s="47"/>
      <c r="C68" s="43"/>
      <c r="D68" s="47"/>
      <c r="E68" s="47"/>
      <c r="F68" s="50"/>
      <c r="G68" s="51"/>
      <c r="H68" s="32" t="str">
        <f t="shared" si="2"/>
        <v/>
      </c>
    </row>
    <row r="69">
      <c r="B69" s="47"/>
      <c r="C69" s="43"/>
      <c r="D69" s="47"/>
      <c r="E69" s="47"/>
      <c r="F69" s="50"/>
      <c r="G69" s="51"/>
      <c r="H69" s="32" t="str">
        <f t="shared" si="2"/>
        <v/>
      </c>
    </row>
    <row r="70">
      <c r="B70" s="47"/>
      <c r="C70" s="43"/>
      <c r="D70" s="47"/>
      <c r="E70" s="47"/>
      <c r="F70" s="50"/>
      <c r="G70" s="51"/>
      <c r="H70" s="32" t="str">
        <f t="shared" si="2"/>
        <v/>
      </c>
    </row>
    <row r="71">
      <c r="B71" s="47"/>
      <c r="C71" s="43"/>
      <c r="D71" s="47"/>
      <c r="E71" s="47"/>
      <c r="F71" s="50"/>
      <c r="G71" s="51"/>
      <c r="H71" s="32" t="str">
        <f t="shared" si="2"/>
        <v/>
      </c>
    </row>
    <row r="72">
      <c r="B72" s="47"/>
      <c r="C72" s="43"/>
      <c r="D72" s="47"/>
      <c r="E72" s="47"/>
      <c r="F72" s="50"/>
      <c r="G72" s="51"/>
      <c r="H72" s="32" t="str">
        <f t="shared" si="2"/>
        <v/>
      </c>
    </row>
    <row r="73">
      <c r="B73" s="47"/>
      <c r="C73" s="43"/>
      <c r="D73" s="47"/>
      <c r="E73" s="47"/>
      <c r="F73" s="50"/>
      <c r="G73" s="51"/>
      <c r="H73" s="32" t="str">
        <f t="shared" si="2"/>
        <v/>
      </c>
    </row>
    <row r="74">
      <c r="B74" s="47"/>
      <c r="C74" s="43"/>
      <c r="D74" s="47"/>
      <c r="E74" s="47"/>
      <c r="F74" s="50"/>
      <c r="G74" s="51"/>
      <c r="H74" s="32" t="str">
        <f t="shared" si="2"/>
        <v/>
      </c>
    </row>
    <row r="75">
      <c r="B75" s="47"/>
      <c r="C75" s="43"/>
      <c r="D75" s="47"/>
      <c r="E75" s="47"/>
      <c r="F75" s="50"/>
      <c r="G75" s="51"/>
      <c r="H75" s="32" t="str">
        <f t="shared" si="2"/>
        <v/>
      </c>
    </row>
    <row r="76">
      <c r="B76" s="47"/>
      <c r="C76" s="43"/>
      <c r="D76" s="47"/>
      <c r="E76" s="47"/>
      <c r="F76" s="50"/>
      <c r="G76" s="51"/>
      <c r="H76" s="32" t="str">
        <f t="shared" si="2"/>
        <v/>
      </c>
    </row>
    <row r="77">
      <c r="B77" s="47"/>
      <c r="C77" s="43"/>
      <c r="D77" s="47"/>
      <c r="E77" s="47"/>
      <c r="F77" s="50"/>
      <c r="G77" s="51"/>
      <c r="H77" s="32" t="str">
        <f t="shared" si="2"/>
        <v/>
      </c>
    </row>
    <row r="78">
      <c r="B78" s="47"/>
      <c r="C78" s="43"/>
      <c r="D78" s="47"/>
      <c r="E78" s="47"/>
      <c r="F78" s="50"/>
      <c r="G78" s="51"/>
      <c r="H78" s="32" t="str">
        <f t="shared" si="2"/>
        <v/>
      </c>
    </row>
    <row r="79">
      <c r="B79" s="47"/>
      <c r="C79" s="43"/>
      <c r="D79" s="47"/>
      <c r="E79" s="47"/>
      <c r="F79" s="50"/>
      <c r="G79" s="51"/>
      <c r="H79" s="32" t="str">
        <f t="shared" si="2"/>
        <v/>
      </c>
    </row>
    <row r="80">
      <c r="B80" s="47"/>
      <c r="C80" s="43"/>
      <c r="D80" s="47"/>
      <c r="E80" s="47"/>
      <c r="F80" s="50"/>
      <c r="G80" s="51"/>
      <c r="H80" s="32" t="str">
        <f t="shared" si="2"/>
        <v/>
      </c>
    </row>
    <row r="81">
      <c r="B81" s="47"/>
      <c r="C81" s="43"/>
      <c r="D81" s="47"/>
      <c r="E81" s="47"/>
      <c r="F81" s="50"/>
      <c r="G81" s="51"/>
      <c r="H81" s="32" t="str">
        <f t="shared" si="2"/>
        <v/>
      </c>
    </row>
    <row r="82">
      <c r="B82" s="47"/>
      <c r="C82" s="43"/>
      <c r="D82" s="47"/>
      <c r="E82" s="47"/>
      <c r="F82" s="50"/>
      <c r="G82" s="51"/>
      <c r="H82" s="32" t="str">
        <f t="shared" si="2"/>
        <v/>
      </c>
    </row>
    <row r="83">
      <c r="B83" s="47"/>
      <c r="C83" s="43"/>
      <c r="D83" s="47"/>
      <c r="E83" s="47"/>
      <c r="F83" s="50"/>
      <c r="G83" s="51"/>
      <c r="H83" s="32" t="str">
        <f t="shared" si="2"/>
        <v/>
      </c>
    </row>
    <row r="84">
      <c r="B84" s="47"/>
      <c r="C84" s="43"/>
      <c r="D84" s="47"/>
      <c r="E84" s="47"/>
      <c r="F84" s="50"/>
      <c r="G84" s="51"/>
      <c r="H84" s="32" t="str">
        <f t="shared" si="2"/>
        <v/>
      </c>
    </row>
    <row r="85">
      <c r="B85" s="47"/>
      <c r="C85" s="43"/>
      <c r="D85" s="47"/>
      <c r="E85" s="47"/>
      <c r="F85" s="50"/>
      <c r="G85" s="51"/>
      <c r="H85" s="32" t="str">
        <f t="shared" si="2"/>
        <v/>
      </c>
    </row>
    <row r="86">
      <c r="B86" s="47"/>
      <c r="C86" s="43"/>
      <c r="D86" s="47"/>
      <c r="E86" s="47"/>
      <c r="F86" s="50"/>
      <c r="G86" s="51"/>
      <c r="H86" s="32" t="str">
        <f t="shared" si="2"/>
        <v/>
      </c>
    </row>
    <row r="87">
      <c r="B87" s="47"/>
      <c r="C87" s="43"/>
      <c r="D87" s="47"/>
      <c r="E87" s="47"/>
      <c r="F87" s="50"/>
      <c r="G87" s="51"/>
      <c r="H87" s="32" t="str">
        <f t="shared" si="2"/>
        <v/>
      </c>
    </row>
    <row r="88">
      <c r="B88" s="47"/>
      <c r="C88" s="43"/>
      <c r="D88" s="47"/>
      <c r="E88" s="47"/>
      <c r="F88" s="50"/>
      <c r="G88" s="51"/>
      <c r="H88" s="32" t="str">
        <f t="shared" si="2"/>
        <v/>
      </c>
    </row>
    <row r="89">
      <c r="B89" s="47"/>
      <c r="C89" s="43"/>
      <c r="D89" s="47"/>
      <c r="E89" s="47"/>
      <c r="F89" s="50"/>
      <c r="G89" s="51"/>
      <c r="H89" s="32" t="str">
        <f t="shared" si="2"/>
        <v/>
      </c>
    </row>
    <row r="90">
      <c r="B90" s="47"/>
      <c r="C90" s="43"/>
      <c r="D90" s="47"/>
      <c r="E90" s="47"/>
      <c r="F90" s="50"/>
      <c r="G90" s="51"/>
      <c r="H90" s="32" t="str">
        <f t="shared" si="2"/>
        <v/>
      </c>
    </row>
    <row r="91">
      <c r="B91" s="47"/>
      <c r="C91" s="43"/>
      <c r="D91" s="47"/>
      <c r="E91" s="47"/>
      <c r="F91" s="50"/>
      <c r="G91" s="51"/>
      <c r="H91" s="32" t="str">
        <f t="shared" si="2"/>
        <v/>
      </c>
    </row>
    <row r="92">
      <c r="B92" s="47"/>
      <c r="C92" s="43"/>
      <c r="D92" s="47"/>
      <c r="E92" s="47"/>
      <c r="F92" s="50"/>
      <c r="G92" s="51"/>
      <c r="H92" s="32" t="str">
        <f t="shared" si="2"/>
        <v/>
      </c>
    </row>
    <row r="93">
      <c r="B93" s="47"/>
      <c r="C93" s="43"/>
      <c r="D93" s="47"/>
      <c r="E93" s="47"/>
      <c r="F93" s="50"/>
      <c r="G93" s="51"/>
      <c r="H93" s="32" t="str">
        <f t="shared" si="2"/>
        <v/>
      </c>
    </row>
    <row r="94">
      <c r="B94" s="47"/>
      <c r="C94" s="43"/>
      <c r="D94" s="47"/>
      <c r="E94" s="47"/>
      <c r="F94" s="50"/>
      <c r="G94" s="51"/>
      <c r="H94" s="32" t="str">
        <f t="shared" si="2"/>
        <v/>
      </c>
    </row>
    <row r="95">
      <c r="B95" s="47"/>
      <c r="C95" s="43"/>
      <c r="D95" s="47"/>
      <c r="E95" s="47"/>
      <c r="F95" s="50"/>
      <c r="G95" s="51"/>
      <c r="H95" s="32" t="str">
        <f t="shared" si="2"/>
        <v/>
      </c>
    </row>
    <row r="96">
      <c r="B96" s="47"/>
      <c r="C96" s="43"/>
      <c r="D96" s="47"/>
      <c r="E96" s="47"/>
      <c r="F96" s="50"/>
      <c r="G96" s="51"/>
      <c r="H96" s="32" t="str">
        <f t="shared" si="2"/>
        <v/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8.29"/>
    <col customWidth="1" min="3" max="3" width="49.29"/>
    <col customWidth="1" min="4" max="4" width="55.0"/>
    <col customWidth="1" min="5" max="26" width="8.71"/>
  </cols>
  <sheetData>
    <row r="1" ht="30.0" customHeight="1">
      <c r="B1" s="96" t="s">
        <v>139</v>
      </c>
      <c r="C1" s="23"/>
      <c r="D1" s="27"/>
    </row>
    <row r="2" ht="15.75" customHeight="1">
      <c r="B2" s="98" t="s">
        <v>140</v>
      </c>
      <c r="C2" s="23"/>
      <c r="D2" s="27"/>
    </row>
    <row r="3" ht="7.5" customHeight="1"/>
    <row r="4" ht="66.75" customHeight="1">
      <c r="B4" s="100" t="s">
        <v>142</v>
      </c>
      <c r="C4" s="102" t="s">
        <v>145</v>
      </c>
      <c r="D4" s="104" t="s">
        <v>146</v>
      </c>
    </row>
    <row r="5" ht="48.75" customHeight="1">
      <c r="B5" s="100" t="s">
        <v>148</v>
      </c>
      <c r="C5" s="102" t="s">
        <v>149</v>
      </c>
      <c r="D5" s="104" t="s">
        <v>151</v>
      </c>
    </row>
    <row r="6" ht="54.75" customHeight="1">
      <c r="B6" s="100" t="s">
        <v>152</v>
      </c>
      <c r="C6" s="102" t="s">
        <v>153</v>
      </c>
      <c r="D6" s="104" t="s">
        <v>155</v>
      </c>
    </row>
    <row r="7" ht="31.5" customHeight="1">
      <c r="B7" s="100" t="s">
        <v>157</v>
      </c>
      <c r="C7" s="102" t="s">
        <v>158</v>
      </c>
      <c r="D7" s="104" t="s">
        <v>159</v>
      </c>
    </row>
    <row r="8" ht="75.75" customHeight="1">
      <c r="B8" s="107" t="s">
        <v>161</v>
      </c>
      <c r="C8" s="109" t="s">
        <v>163</v>
      </c>
      <c r="D8" s="104" t="s">
        <v>167</v>
      </c>
    </row>
    <row r="9" ht="42.0" customHeight="1">
      <c r="B9" s="107" t="s">
        <v>169</v>
      </c>
      <c r="C9" s="109" t="s">
        <v>170</v>
      </c>
      <c r="D9" s="104" t="s">
        <v>172</v>
      </c>
    </row>
    <row r="10" ht="64.5" customHeight="1">
      <c r="B10" s="113" t="s">
        <v>174</v>
      </c>
      <c r="C10" s="116" t="s">
        <v>179</v>
      </c>
      <c r="D10" s="104" t="s">
        <v>184</v>
      </c>
    </row>
    <row r="11" ht="60.0" customHeight="1">
      <c r="B11" s="113" t="s">
        <v>186</v>
      </c>
      <c r="C11" s="116" t="s">
        <v>188</v>
      </c>
      <c r="D11" s="104" t="s">
        <v>191</v>
      </c>
    </row>
    <row r="12" ht="82.5" customHeight="1">
      <c r="B12" s="119" t="s">
        <v>193</v>
      </c>
      <c r="C12" s="120" t="s">
        <v>198</v>
      </c>
      <c r="D12" s="104" t="s">
        <v>201</v>
      </c>
    </row>
    <row r="13" ht="67.5" customHeight="1">
      <c r="B13" s="119" t="s">
        <v>202</v>
      </c>
      <c r="C13" s="120" t="s">
        <v>205</v>
      </c>
      <c r="D13" s="104" t="s">
        <v>206</v>
      </c>
    </row>
    <row r="14" ht="81.75" customHeight="1">
      <c r="B14" s="121" t="s">
        <v>209</v>
      </c>
      <c r="C14" s="122" t="s">
        <v>213</v>
      </c>
      <c r="D14" s="104" t="s">
        <v>218</v>
      </c>
    </row>
    <row r="15" ht="72.0" customHeight="1">
      <c r="B15" s="123" t="s">
        <v>222</v>
      </c>
      <c r="C15" s="124" t="s">
        <v>228</v>
      </c>
      <c r="D15" s="104" t="s">
        <v>230</v>
      </c>
    </row>
    <row r="16" ht="61.5" customHeight="1">
      <c r="B16" s="113" t="s">
        <v>232</v>
      </c>
      <c r="C16" s="116" t="s">
        <v>233</v>
      </c>
      <c r="D16" s="104" t="s">
        <v>234</v>
      </c>
    </row>
    <row r="17" ht="67.5" customHeight="1">
      <c r="B17" s="123" t="s">
        <v>235</v>
      </c>
      <c r="C17" s="124" t="s">
        <v>237</v>
      </c>
      <c r="D17" s="104" t="s">
        <v>240</v>
      </c>
    </row>
    <row r="18" ht="66.75" customHeight="1">
      <c r="B18" s="119" t="s">
        <v>242</v>
      </c>
      <c r="C18" s="120" t="s">
        <v>243</v>
      </c>
      <c r="D18" s="104" t="s">
        <v>245</v>
      </c>
    </row>
    <row r="20" ht="19.5" customHeight="1">
      <c r="B20" s="127" t="s">
        <v>249</v>
      </c>
      <c r="C20" s="23"/>
      <c r="D20" s="27"/>
    </row>
    <row r="21" ht="18.0" customHeight="1">
      <c r="B21" s="128" t="s">
        <v>2</v>
      </c>
      <c r="C21" s="128" t="s">
        <v>252</v>
      </c>
      <c r="D21" s="128" t="s">
        <v>253</v>
      </c>
    </row>
    <row r="22" ht="16.5" customHeight="1">
      <c r="B22" s="129" t="s">
        <v>113</v>
      </c>
      <c r="C22" s="131" t="s">
        <v>255</v>
      </c>
      <c r="D22" s="132" t="s">
        <v>258</v>
      </c>
    </row>
    <row r="23" ht="16.5" customHeight="1">
      <c r="B23" s="129" t="s">
        <v>98</v>
      </c>
      <c r="C23" s="131" t="s">
        <v>260</v>
      </c>
      <c r="D23" s="132" t="s">
        <v>262</v>
      </c>
    </row>
    <row r="24" ht="16.5" customHeight="1">
      <c r="B24" s="133" t="s">
        <v>264</v>
      </c>
      <c r="C24" s="135" t="s">
        <v>266</v>
      </c>
      <c r="D24" s="132" t="s">
        <v>267</v>
      </c>
    </row>
    <row r="25" ht="16.5" customHeight="1">
      <c r="B25" s="129" t="s">
        <v>268</v>
      </c>
      <c r="C25" s="131" t="s">
        <v>269</v>
      </c>
      <c r="D25" s="132" t="s">
        <v>271</v>
      </c>
    </row>
    <row r="26" ht="16.5" customHeight="1">
      <c r="B26" s="136" t="s">
        <v>111</v>
      </c>
      <c r="C26" s="137" t="s">
        <v>274</v>
      </c>
      <c r="D26" s="132" t="s">
        <v>276</v>
      </c>
    </row>
    <row r="27" ht="16.5" customHeight="1">
      <c r="B27" s="139" t="s">
        <v>277</v>
      </c>
      <c r="C27" s="140" t="s">
        <v>278</v>
      </c>
      <c r="D27" s="132" t="s">
        <v>279</v>
      </c>
    </row>
    <row r="28" ht="16.5" customHeight="1">
      <c r="B28" s="129" t="s">
        <v>119</v>
      </c>
      <c r="C28" s="131" t="s">
        <v>280</v>
      </c>
      <c r="D28" s="132" t="s">
        <v>281</v>
      </c>
    </row>
    <row r="29" ht="16.5" customHeight="1">
      <c r="B29" s="129" t="s">
        <v>118</v>
      </c>
      <c r="C29" s="131" t="s">
        <v>282</v>
      </c>
      <c r="D29" s="132" t="s">
        <v>283</v>
      </c>
    </row>
    <row r="30" ht="16.5" customHeight="1">
      <c r="B30" s="136" t="s">
        <v>78</v>
      </c>
      <c r="C30" s="137" t="s">
        <v>284</v>
      </c>
      <c r="D30" s="132" t="s">
        <v>285</v>
      </c>
    </row>
    <row r="31" ht="16.5" customHeight="1">
      <c r="B31" s="136" t="s">
        <v>116</v>
      </c>
      <c r="C31" s="137" t="s">
        <v>286</v>
      </c>
      <c r="D31" s="132" t="s">
        <v>287</v>
      </c>
    </row>
    <row r="32" ht="16.5" customHeight="1">
      <c r="B32" s="142" t="s">
        <v>288</v>
      </c>
      <c r="C32" s="143" t="s">
        <v>292</v>
      </c>
      <c r="D32" s="132" t="s">
        <v>296</v>
      </c>
    </row>
    <row r="33" ht="16.5" customHeight="1">
      <c r="B33" s="129" t="s">
        <v>90</v>
      </c>
      <c r="C33" s="131" t="s">
        <v>299</v>
      </c>
      <c r="D33" s="132" t="s">
        <v>300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2:D2"/>
    <mergeCell ref="B20:D20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08" t="s">
        <v>141</v>
      </c>
      <c r="B1" s="108" t="s">
        <v>165</v>
      </c>
      <c r="C1" s="108" t="s">
        <v>5</v>
      </c>
      <c r="D1" s="108"/>
      <c r="E1" s="108"/>
    </row>
    <row r="2">
      <c r="A2" s="112">
        <v>46165.0</v>
      </c>
      <c r="B2" s="108" t="s">
        <v>176</v>
      </c>
      <c r="C2" s="115">
        <v>10000.0</v>
      </c>
      <c r="D2" s="108"/>
      <c r="E2" s="108"/>
    </row>
    <row r="3">
      <c r="A3" s="112">
        <v>46166.0</v>
      </c>
      <c r="B3" s="108" t="s">
        <v>185</v>
      </c>
      <c r="C3" s="115">
        <v>19000.0</v>
      </c>
      <c r="D3" s="108"/>
      <c r="E3" s="108"/>
    </row>
    <row r="4">
      <c r="A4" s="112">
        <v>46168.0</v>
      </c>
      <c r="B4" s="108" t="s">
        <v>190</v>
      </c>
      <c r="C4" s="117">
        <v>2500.0</v>
      </c>
      <c r="D4" s="108"/>
      <c r="E4" s="108"/>
    </row>
    <row r="5">
      <c r="A5" s="112">
        <v>46169.0</v>
      </c>
      <c r="B5" s="108" t="s">
        <v>194</v>
      </c>
      <c r="C5" s="115">
        <v>29050.0</v>
      </c>
      <c r="D5" s="108"/>
      <c r="E5" s="108"/>
    </row>
    <row r="6">
      <c r="A6" s="112">
        <v>46169.0</v>
      </c>
      <c r="B6" s="108" t="s">
        <v>197</v>
      </c>
      <c r="C6" s="117">
        <v>100.0</v>
      </c>
      <c r="D6" s="108"/>
      <c r="E6" s="108"/>
    </row>
    <row r="7">
      <c r="A7" s="112">
        <v>46169.0</v>
      </c>
      <c r="B7" s="108" t="s">
        <v>199</v>
      </c>
      <c r="C7" s="117">
        <v>300.0</v>
      </c>
      <c r="D7" s="108"/>
      <c r="E7" s="108"/>
    </row>
    <row r="8">
      <c r="A8" s="112">
        <v>46169.0</v>
      </c>
      <c r="B8" s="108" t="s">
        <v>204</v>
      </c>
      <c r="C8" s="117">
        <v>370.0</v>
      </c>
      <c r="D8" s="108"/>
      <c r="E8" s="108"/>
    </row>
    <row r="9">
      <c r="A9" s="112">
        <v>46169.0</v>
      </c>
      <c r="B9" s="108" t="s">
        <v>63</v>
      </c>
      <c r="C9" s="117">
        <v>2494.0</v>
      </c>
      <c r="D9" s="108"/>
      <c r="E9" s="108"/>
    </row>
    <row r="10">
      <c r="A10" s="112">
        <v>46169.0</v>
      </c>
      <c r="B10" s="108" t="s">
        <v>211</v>
      </c>
      <c r="C10" s="117">
        <v>5000.0</v>
      </c>
      <c r="D10" s="108"/>
      <c r="E10" s="108"/>
    </row>
    <row r="11">
      <c r="A11" s="112">
        <v>46169.0</v>
      </c>
      <c r="B11" s="108" t="s">
        <v>215</v>
      </c>
      <c r="C11" s="115">
        <v>29000.0</v>
      </c>
      <c r="D11" s="108" t="s">
        <v>217</v>
      </c>
      <c r="E11" s="117">
        <v>24000.0</v>
      </c>
    </row>
    <row r="12">
      <c r="A12" s="112">
        <v>46169.0</v>
      </c>
      <c r="B12" s="108" t="s">
        <v>221</v>
      </c>
      <c r="C12" s="117">
        <v>400.0</v>
      </c>
      <c r="D12" s="108" t="s">
        <v>223</v>
      </c>
      <c r="E12" s="115">
        <v>53000.0</v>
      </c>
    </row>
    <row r="13">
      <c r="A13" s="112">
        <v>46169.0</v>
      </c>
      <c r="B13" s="108" t="s">
        <v>225</v>
      </c>
      <c r="C13" s="117">
        <v>600.0</v>
      </c>
      <c r="D13" s="108"/>
      <c r="E13" s="108"/>
    </row>
    <row r="14">
      <c r="A14" s="112">
        <v>46170.0</v>
      </c>
      <c r="B14" s="108"/>
      <c r="C14" s="108"/>
      <c r="D14" s="108"/>
      <c r="E14" s="108"/>
    </row>
    <row r="22">
      <c r="A22" s="108" t="s">
        <v>236</v>
      </c>
      <c r="B22" s="108" t="s">
        <v>141</v>
      </c>
      <c r="C22" s="108" t="s">
        <v>241</v>
      </c>
      <c r="D22" s="108" t="s">
        <v>5</v>
      </c>
      <c r="E22" s="108" t="s">
        <v>244</v>
      </c>
    </row>
    <row r="23">
      <c r="A23" s="108" t="s">
        <v>246</v>
      </c>
      <c r="B23" s="108" t="s">
        <v>247</v>
      </c>
      <c r="C23" s="108" t="s">
        <v>248</v>
      </c>
      <c r="D23" s="117">
        <v>3150.0</v>
      </c>
      <c r="E23" s="126">
        <v>46464.0</v>
      </c>
    </row>
    <row r="24">
      <c r="A24" s="108" t="s">
        <v>246</v>
      </c>
      <c r="B24" s="108" t="s">
        <v>247</v>
      </c>
      <c r="C24" s="108" t="s">
        <v>250</v>
      </c>
      <c r="D24" s="117">
        <v>2650.0</v>
      </c>
      <c r="E24" s="126">
        <v>46219.0</v>
      </c>
    </row>
    <row r="25">
      <c r="A25" s="108" t="s">
        <v>246</v>
      </c>
      <c r="B25" s="108" t="s">
        <v>247</v>
      </c>
      <c r="C25" s="108" t="s">
        <v>251</v>
      </c>
      <c r="D25" s="117">
        <v>2600.0</v>
      </c>
      <c r="E25" s="126">
        <v>46828.0</v>
      </c>
    </row>
    <row r="26">
      <c r="A26" s="108" t="s">
        <v>246</v>
      </c>
      <c r="B26" s="108" t="s">
        <v>247</v>
      </c>
      <c r="C26" s="108" t="s">
        <v>254</v>
      </c>
      <c r="D26" s="117">
        <v>2680.0</v>
      </c>
      <c r="E26" s="130">
        <v>46863.0</v>
      </c>
    </row>
    <row r="27">
      <c r="A27" s="108" t="s">
        <v>66</v>
      </c>
      <c r="B27" s="108" t="s">
        <v>256</v>
      </c>
      <c r="C27" s="108" t="s">
        <v>257</v>
      </c>
      <c r="D27" s="117">
        <v>5390.0</v>
      </c>
      <c r="E27" s="126">
        <v>46764.0</v>
      </c>
    </row>
    <row r="28">
      <c r="A28" s="108" t="s">
        <v>66</v>
      </c>
      <c r="B28" s="108" t="s">
        <v>256</v>
      </c>
      <c r="C28" s="108" t="s">
        <v>259</v>
      </c>
      <c r="D28" s="117">
        <v>3235.0</v>
      </c>
      <c r="E28" s="126">
        <v>46673.0</v>
      </c>
    </row>
    <row r="29">
      <c r="A29" s="108" t="s">
        <v>66</v>
      </c>
      <c r="B29" s="108" t="s">
        <v>256</v>
      </c>
      <c r="C29" s="108" t="s">
        <v>261</v>
      </c>
      <c r="D29" s="117">
        <v>1230.0</v>
      </c>
      <c r="E29" s="108" t="s">
        <v>263</v>
      </c>
    </row>
    <row r="30">
      <c r="A30" s="108" t="s">
        <v>265</v>
      </c>
      <c r="B30" s="108"/>
      <c r="C30" s="108" t="s">
        <v>248</v>
      </c>
      <c r="D30" s="134">
        <v>2970.0</v>
      </c>
      <c r="E30" s="108"/>
    </row>
    <row r="31">
      <c r="A31" s="108" t="s">
        <v>265</v>
      </c>
      <c r="B31" s="108"/>
      <c r="C31" s="108" t="s">
        <v>257</v>
      </c>
      <c r="D31" s="134">
        <v>2970.0</v>
      </c>
      <c r="E31" s="108"/>
    </row>
    <row r="32">
      <c r="A32" s="108" t="s">
        <v>270</v>
      </c>
      <c r="B32" s="108" t="s">
        <v>272</v>
      </c>
      <c r="C32" s="108"/>
      <c r="D32" s="117">
        <v>5000.0</v>
      </c>
      <c r="E32" s="108" t="s">
        <v>273</v>
      </c>
    </row>
    <row r="42">
      <c r="A42" s="138" t="s">
        <v>275</v>
      </c>
      <c r="B42" s="108"/>
      <c r="C42" s="108"/>
      <c r="D42" s="108"/>
      <c r="E42" s="108"/>
      <c r="F42" s="108"/>
      <c r="G42" s="108"/>
      <c r="H42" s="108"/>
      <c r="I42" s="108"/>
      <c r="J42" s="108"/>
    </row>
    <row r="43">
      <c r="A43" s="108"/>
      <c r="B43" s="108"/>
      <c r="C43" s="108"/>
      <c r="D43" s="108"/>
      <c r="E43" s="108"/>
      <c r="F43" s="108"/>
      <c r="G43" s="108"/>
      <c r="H43" s="108"/>
      <c r="I43" s="108"/>
      <c r="J43" s="108"/>
    </row>
    <row r="44">
      <c r="A44" s="108"/>
      <c r="B44" s="108"/>
      <c r="C44" s="108"/>
      <c r="D44" s="108"/>
      <c r="E44" s="108"/>
      <c r="F44" s="108"/>
      <c r="G44" s="108"/>
      <c r="H44" s="108"/>
      <c r="I44" s="108"/>
      <c r="J44" s="108"/>
    </row>
    <row r="45">
      <c r="A45" s="141" t="s">
        <v>42</v>
      </c>
      <c r="B45" s="141" t="s">
        <v>289</v>
      </c>
      <c r="C45" s="141" t="s">
        <v>290</v>
      </c>
      <c r="D45" s="141" t="s">
        <v>107</v>
      </c>
      <c r="E45" s="141" t="s">
        <v>291</v>
      </c>
      <c r="F45" s="141" t="s">
        <v>293</v>
      </c>
      <c r="G45" s="141" t="s">
        <v>294</v>
      </c>
      <c r="H45" s="141" t="s">
        <v>295</v>
      </c>
      <c r="I45" s="141" t="s">
        <v>297</v>
      </c>
      <c r="J45" s="141" t="s">
        <v>298</v>
      </c>
    </row>
    <row r="46">
      <c r="A46" s="144" t="s">
        <v>301</v>
      </c>
      <c r="B46" s="145">
        <v>1000000.0</v>
      </c>
      <c r="C46" s="146">
        <v>0.2</v>
      </c>
      <c r="D46" s="145">
        <f>IF(AND(B46&lt;&gt;"", C46&lt;&gt;"", E46&lt;&gt;""), PMT(C46/12, E46, -B46), "")</f>
        <v>26493.88371</v>
      </c>
      <c r="E46" s="147">
        <v>60.0</v>
      </c>
      <c r="F46" s="147">
        <v>0.0</v>
      </c>
      <c r="G46" s="147">
        <f t="shared" ref="G46:G52" si="1">IF(E46="", "", E46 - F46)</f>
        <v>60</v>
      </c>
      <c r="H46" s="145">
        <f t="shared" ref="H46:H52" si="2">IF(D46="", "", D46 * F46)</f>
        <v>0</v>
      </c>
      <c r="I46" s="145">
        <f t="shared" ref="I46:I52" si="3">IF(G46="", "", IFERROR(PV(C46/12, G46, -D46), ""))</f>
        <v>1000000</v>
      </c>
      <c r="J46" s="148">
        <f t="shared" ref="J46:J52" si="4">IF(AND(D46&lt;&gt;"", E46&lt;&gt;""), (D46 * E46) - B46, "")</f>
        <v>589633.0229</v>
      </c>
    </row>
    <row r="47">
      <c r="A47" s="149" t="s">
        <v>303</v>
      </c>
      <c r="B47" s="150">
        <v>596000.0</v>
      </c>
      <c r="C47" s="151">
        <v>0.126</v>
      </c>
      <c r="D47" s="150">
        <f>IF(AND(B47&lt;&gt;"", C47&lt;&gt;"", E47&lt;&gt;""), PMT(C47/12, E47, -B47), 11839)</f>
        <v>11838.71102</v>
      </c>
      <c r="E47" s="152">
        <v>72.0</v>
      </c>
      <c r="F47" s="152">
        <v>52.0</v>
      </c>
      <c r="G47" s="152">
        <f t="shared" si="1"/>
        <v>20</v>
      </c>
      <c r="H47" s="150">
        <f t="shared" si="2"/>
        <v>615612.9729</v>
      </c>
      <c r="I47" s="150">
        <f t="shared" si="3"/>
        <v>212564.401</v>
      </c>
      <c r="J47" s="154">
        <f t="shared" si="4"/>
        <v>256387.1932</v>
      </c>
    </row>
    <row r="48">
      <c r="A48" s="144" t="s">
        <v>304</v>
      </c>
      <c r="B48" s="155"/>
      <c r="C48" s="156"/>
      <c r="D48" s="145">
        <f>IF(AND(B48&lt;&gt;"", C48&lt;&gt;"", E48&lt;&gt;""), PMT(C48/12, E48, -B48), 15250)</f>
        <v>15250</v>
      </c>
      <c r="E48" s="158"/>
      <c r="F48" s="147">
        <v>0.0</v>
      </c>
      <c r="G48" s="158" t="str">
        <f t="shared" si="1"/>
        <v/>
      </c>
      <c r="H48" s="145">
        <f t="shared" si="2"/>
        <v>0</v>
      </c>
      <c r="I48" s="155" t="str">
        <f t="shared" si="3"/>
        <v/>
      </c>
      <c r="J48" s="159" t="str">
        <f t="shared" si="4"/>
        <v/>
      </c>
    </row>
    <row r="49">
      <c r="A49" s="149" t="s">
        <v>84</v>
      </c>
      <c r="B49" s="150">
        <v>97110.0</v>
      </c>
      <c r="C49" s="160"/>
      <c r="D49" s="150">
        <f>IF(AND(B49&lt;&gt;"", C49&lt;&gt;"", E49&lt;&gt;""), PMT(C49/12, E49, -B49), 18972)</f>
        <v>18972</v>
      </c>
      <c r="E49" s="161"/>
      <c r="F49" s="152">
        <v>0.0</v>
      </c>
      <c r="G49" s="161" t="str">
        <f t="shared" si="1"/>
        <v/>
      </c>
      <c r="H49" s="150">
        <f t="shared" si="2"/>
        <v>0</v>
      </c>
      <c r="I49" s="162" t="str">
        <f t="shared" si="3"/>
        <v/>
      </c>
      <c r="J49" s="163" t="str">
        <f t="shared" si="4"/>
        <v/>
      </c>
    </row>
    <row r="50">
      <c r="A50" s="144" t="s">
        <v>305</v>
      </c>
      <c r="B50" s="145">
        <v>83419.0</v>
      </c>
      <c r="C50" s="146">
        <v>0.12</v>
      </c>
      <c r="D50" s="145">
        <f t="shared" ref="D50:D51" si="5">IF(AND(B50&lt;&gt;"", C50&lt;&gt;"", E50&lt;&gt;""), PMT(C50/12, E50, -B50), 4627)</f>
        <v>5087.061453</v>
      </c>
      <c r="E50" s="147">
        <v>18.0</v>
      </c>
      <c r="F50" s="147">
        <v>3.0</v>
      </c>
      <c r="G50" s="147">
        <f t="shared" si="1"/>
        <v>15</v>
      </c>
      <c r="H50" s="145">
        <f t="shared" si="2"/>
        <v>15261.18436</v>
      </c>
      <c r="I50" s="145">
        <f t="shared" si="3"/>
        <v>70532.37421</v>
      </c>
      <c r="J50" s="148">
        <f t="shared" si="4"/>
        <v>8148.106161</v>
      </c>
    </row>
    <row r="51">
      <c r="A51" s="166" t="s">
        <v>310</v>
      </c>
      <c r="B51" s="167">
        <v>149100.0</v>
      </c>
      <c r="C51" s="169">
        <v>0.1</v>
      </c>
      <c r="D51" s="167">
        <f t="shared" si="5"/>
        <v>5637.681256</v>
      </c>
      <c r="E51" s="173">
        <v>30.0</v>
      </c>
      <c r="F51" s="173">
        <v>15.0</v>
      </c>
      <c r="G51" s="173">
        <f t="shared" si="1"/>
        <v>15</v>
      </c>
      <c r="H51" s="167">
        <f t="shared" si="2"/>
        <v>84565.21884</v>
      </c>
      <c r="I51" s="167">
        <f t="shared" si="3"/>
        <v>79184.0856</v>
      </c>
      <c r="J51" s="175">
        <f t="shared" si="4"/>
        <v>20030.43769</v>
      </c>
    </row>
    <row r="52">
      <c r="A52" s="144" t="s">
        <v>322</v>
      </c>
      <c r="B52" s="155"/>
      <c r="C52" s="156"/>
      <c r="D52" s="145">
        <f>IF(AND(B52&lt;&gt;"", C52&lt;&gt;"", E52&lt;&gt;""), PMT(C52/12, E52, -B52), 3850)</f>
        <v>3850</v>
      </c>
      <c r="E52" s="158"/>
      <c r="F52" s="147">
        <v>0.0</v>
      </c>
      <c r="G52" s="158" t="str">
        <f t="shared" si="1"/>
        <v/>
      </c>
      <c r="H52" s="145">
        <f t="shared" si="2"/>
        <v>0</v>
      </c>
      <c r="I52" s="155" t="str">
        <f t="shared" si="3"/>
        <v/>
      </c>
      <c r="J52" s="159" t="str">
        <f t="shared" si="4"/>
        <v/>
      </c>
    </row>
    <row r="61">
      <c r="A61" s="177" t="s">
        <v>141</v>
      </c>
      <c r="B61" s="177" t="s">
        <v>323</v>
      </c>
      <c r="C61" s="177" t="s">
        <v>5</v>
      </c>
      <c r="D61" s="177" t="s">
        <v>324</v>
      </c>
      <c r="E61" s="177" t="s">
        <v>325</v>
      </c>
      <c r="F61" s="177" t="s">
        <v>326</v>
      </c>
      <c r="G61" s="177" t="s">
        <v>5</v>
      </c>
      <c r="H61" s="108"/>
      <c r="I61" s="177" t="s">
        <v>327</v>
      </c>
      <c r="J61" s="108" t="s">
        <v>328</v>
      </c>
    </row>
    <row r="62">
      <c r="A62" s="112">
        <v>46143.0</v>
      </c>
      <c r="B62" s="108" t="s">
        <v>147</v>
      </c>
      <c r="C62" s="178">
        <v>11839.0</v>
      </c>
      <c r="D62" s="179" t="b">
        <v>1</v>
      </c>
      <c r="E62" s="108" t="s">
        <v>329</v>
      </c>
      <c r="F62" s="108" t="s">
        <v>313</v>
      </c>
      <c r="G62" s="178">
        <v>71000.0</v>
      </c>
      <c r="H62" s="108"/>
      <c r="I62" s="177" t="s">
        <v>330</v>
      </c>
      <c r="J62" s="178">
        <f>SUM(C62:C1000)</f>
        <v>84657</v>
      </c>
    </row>
    <row r="63">
      <c r="A63" s="112">
        <v>46144.0</v>
      </c>
      <c r="B63" s="108" t="s">
        <v>331</v>
      </c>
      <c r="C63" s="178">
        <v>3850.0</v>
      </c>
      <c r="D63" s="179" t="b">
        <v>1</v>
      </c>
      <c r="E63" s="108" t="s">
        <v>332</v>
      </c>
      <c r="F63" s="108"/>
      <c r="G63" s="181"/>
      <c r="H63" s="108"/>
      <c r="I63" s="177" t="s">
        <v>295</v>
      </c>
      <c r="J63" s="178">
        <f>SUMIFS(C62:C1000, D62:D1000, TRUE)</f>
        <v>50435</v>
      </c>
    </row>
    <row r="64">
      <c r="A64" s="112">
        <v>46145.0</v>
      </c>
      <c r="B64" s="108" t="s">
        <v>333</v>
      </c>
      <c r="C64" s="178">
        <v>4627.0</v>
      </c>
      <c r="D64" s="179" t="b">
        <v>1</v>
      </c>
      <c r="E64" s="108"/>
      <c r="F64" s="108"/>
      <c r="G64" s="181"/>
      <c r="H64" s="108"/>
      <c r="I64" s="177" t="s">
        <v>334</v>
      </c>
      <c r="J64" s="178">
        <f>SUMIFS(C62:C1000, D62:D1000, FALSE)</f>
        <v>34222</v>
      </c>
    </row>
    <row r="65">
      <c r="A65" s="112">
        <v>46147.0</v>
      </c>
      <c r="B65" s="108" t="s">
        <v>335</v>
      </c>
      <c r="C65" s="178">
        <v>5000.0</v>
      </c>
      <c r="D65" s="179" t="b">
        <v>1</v>
      </c>
      <c r="E65" s="108"/>
      <c r="F65" s="108"/>
      <c r="G65" s="181"/>
      <c r="H65" s="108"/>
      <c r="I65" s="177" t="s">
        <v>336</v>
      </c>
      <c r="J65" s="178">
        <f>SUM(G62:G1000)</f>
        <v>71000</v>
      </c>
    </row>
    <row r="66">
      <c r="A66" s="112">
        <v>46167.0</v>
      </c>
      <c r="B66" s="108" t="s">
        <v>337</v>
      </c>
      <c r="C66" s="178">
        <v>18972.0</v>
      </c>
      <c r="D66" s="179" t="b">
        <v>0</v>
      </c>
      <c r="E66" s="182">
        <v>97110.0</v>
      </c>
      <c r="F66" s="108"/>
      <c r="G66" s="181"/>
      <c r="H66" s="108"/>
      <c r="I66" s="177" t="s">
        <v>338</v>
      </c>
      <c r="J66" s="178">
        <f>J65-J62</f>
        <v>-13657</v>
      </c>
    </row>
    <row r="67">
      <c r="A67" s="112">
        <v>46146.0</v>
      </c>
      <c r="B67" s="108" t="s">
        <v>339</v>
      </c>
      <c r="C67" s="178">
        <v>13625.0</v>
      </c>
      <c r="D67" s="179" t="b">
        <v>1</v>
      </c>
      <c r="E67" s="108" t="s">
        <v>340</v>
      </c>
      <c r="F67" s="108"/>
      <c r="G67" s="181"/>
      <c r="H67" s="108"/>
      <c r="I67" s="108"/>
      <c r="J67" s="108"/>
    </row>
    <row r="68">
      <c r="A68" s="112">
        <v>46145.0</v>
      </c>
      <c r="B68" s="108" t="s">
        <v>341</v>
      </c>
      <c r="C68" s="178">
        <v>2494.0</v>
      </c>
      <c r="D68" s="179" t="b">
        <v>1</v>
      </c>
      <c r="E68" s="108"/>
      <c r="F68" s="108"/>
      <c r="G68" s="181"/>
      <c r="H68" s="108"/>
      <c r="I68" s="108"/>
      <c r="J68" s="108"/>
    </row>
    <row r="69">
      <c r="A69" s="112">
        <v>46144.0</v>
      </c>
      <c r="B69" s="108" t="s">
        <v>342</v>
      </c>
      <c r="C69" s="178">
        <v>4500.0</v>
      </c>
      <c r="D69" s="179" t="b">
        <v>1</v>
      </c>
      <c r="E69" s="108"/>
      <c r="F69" s="108"/>
      <c r="G69" s="181"/>
      <c r="H69" s="108"/>
      <c r="I69" s="108"/>
      <c r="J69" s="108"/>
    </row>
    <row r="70">
      <c r="A70" s="112">
        <v>46152.0</v>
      </c>
      <c r="B70" s="108" t="s">
        <v>343</v>
      </c>
      <c r="C70" s="178">
        <v>1500.0</v>
      </c>
      <c r="D70" s="179" t="b">
        <v>1</v>
      </c>
      <c r="E70" s="108"/>
      <c r="F70" s="108"/>
      <c r="G70" s="181"/>
      <c r="H70" s="108"/>
      <c r="I70" s="108"/>
      <c r="J70" s="108"/>
    </row>
    <row r="71">
      <c r="A71" s="112">
        <v>46152.0</v>
      </c>
      <c r="B71" s="108" t="s">
        <v>344</v>
      </c>
      <c r="C71" s="178">
        <v>3000.0</v>
      </c>
      <c r="D71" s="179" t="b">
        <v>1</v>
      </c>
      <c r="E71" s="108"/>
      <c r="F71" s="108"/>
      <c r="G71" s="181"/>
      <c r="H71" s="108"/>
      <c r="I71" s="108"/>
      <c r="J71" s="108"/>
    </row>
    <row r="72">
      <c r="A72" s="112">
        <v>46157.0</v>
      </c>
      <c r="B72" s="108" t="s">
        <v>345</v>
      </c>
      <c r="C72" s="178">
        <v>15250.0</v>
      </c>
      <c r="D72" s="179" t="b">
        <v>0</v>
      </c>
      <c r="E72" s="108"/>
      <c r="F72" s="108"/>
      <c r="G72" s="181"/>
      <c r="H72" s="108"/>
      <c r="I72" s="108"/>
      <c r="J72" s="108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39.57"/>
    <col customWidth="1" min="3" max="3" width="19.71"/>
    <col customWidth="1" min="4" max="4" width="41.57"/>
  </cols>
  <sheetData>
    <row r="1">
      <c r="A1" s="99" t="s">
        <v>141</v>
      </c>
      <c r="B1" s="101" t="s">
        <v>143</v>
      </c>
      <c r="C1" s="101" t="s">
        <v>144</v>
      </c>
      <c r="D1" s="101" t="s">
        <v>6</v>
      </c>
    </row>
    <row r="2">
      <c r="A2" s="103">
        <v>46060.0</v>
      </c>
      <c r="B2" s="22" t="s">
        <v>147</v>
      </c>
      <c r="C2" s="105">
        <v>12000.0</v>
      </c>
      <c r="D2" s="22" t="s">
        <v>150</v>
      </c>
    </row>
    <row r="3">
      <c r="A3" s="103">
        <v>46060.0</v>
      </c>
      <c r="B3" s="22" t="s">
        <v>154</v>
      </c>
      <c r="C3" s="22">
        <v>4600.0</v>
      </c>
      <c r="D3" s="22" t="s">
        <v>156</v>
      </c>
    </row>
    <row r="4">
      <c r="A4" s="106">
        <v>46180.0</v>
      </c>
      <c r="B4" s="22" t="s">
        <v>160</v>
      </c>
      <c r="C4" s="22">
        <v>110.0</v>
      </c>
    </row>
    <row r="5">
      <c r="A5" s="106">
        <v>46210.0</v>
      </c>
      <c r="B5" s="22" t="s">
        <v>66</v>
      </c>
      <c r="C5" s="105">
        <v>13600.0</v>
      </c>
      <c r="D5" s="22" t="s">
        <v>162</v>
      </c>
    </row>
    <row r="6">
      <c r="A6" s="106">
        <v>46241.0</v>
      </c>
      <c r="B6" s="22" t="s">
        <v>164</v>
      </c>
      <c r="C6" s="22">
        <v>2700.0</v>
      </c>
    </row>
    <row r="7">
      <c r="A7" s="106">
        <v>46241.0</v>
      </c>
      <c r="B7" s="22" t="s">
        <v>166</v>
      </c>
      <c r="C7" s="22">
        <v>2000.0</v>
      </c>
      <c r="D7" s="22" t="s">
        <v>168</v>
      </c>
    </row>
    <row r="8">
      <c r="A8" s="111" t="s">
        <v>171</v>
      </c>
      <c r="B8" s="22" t="s">
        <v>173</v>
      </c>
      <c r="C8" s="105">
        <v>15500.0</v>
      </c>
      <c r="D8" s="22" t="s">
        <v>175</v>
      </c>
    </row>
    <row r="9">
      <c r="A9" s="111" t="s">
        <v>177</v>
      </c>
      <c r="B9" s="22" t="s">
        <v>178</v>
      </c>
      <c r="C9" s="22">
        <v>2000.0</v>
      </c>
      <c r="D9" s="22"/>
    </row>
    <row r="10">
      <c r="A10" s="111" t="s">
        <v>180</v>
      </c>
      <c r="B10" s="22" t="s">
        <v>181</v>
      </c>
      <c r="C10" s="105">
        <v>18700.0</v>
      </c>
    </row>
    <row r="11">
      <c r="A11" s="111" t="s">
        <v>182</v>
      </c>
      <c r="B11" s="22" t="s">
        <v>183</v>
      </c>
      <c r="C11" s="22">
        <v>4000.0</v>
      </c>
    </row>
    <row r="12">
      <c r="A12" s="111" t="s">
        <v>187</v>
      </c>
      <c r="B12" s="22" t="s">
        <v>189</v>
      </c>
      <c r="C12" s="22">
        <v>3690.0</v>
      </c>
    </row>
    <row r="13">
      <c r="A13" s="111" t="s">
        <v>187</v>
      </c>
      <c r="B13" s="22" t="s">
        <v>192</v>
      </c>
      <c r="C13" s="22">
        <v>5089.0</v>
      </c>
    </row>
    <row r="14">
      <c r="A14" s="111" t="s">
        <v>195</v>
      </c>
      <c r="B14" s="22" t="s">
        <v>196</v>
      </c>
      <c r="C14" s="22">
        <v>5210.0</v>
      </c>
    </row>
    <row r="15">
      <c r="A15" s="111" t="s">
        <v>195</v>
      </c>
      <c r="B15" s="22" t="s">
        <v>178</v>
      </c>
      <c r="C15" s="22">
        <v>1250.0</v>
      </c>
    </row>
    <row r="16">
      <c r="A16" s="111" t="s">
        <v>195</v>
      </c>
      <c r="B16" s="22" t="s">
        <v>200</v>
      </c>
      <c r="C16" s="22">
        <v>1500.0</v>
      </c>
    </row>
    <row r="17">
      <c r="A17" s="111" t="s">
        <v>195</v>
      </c>
      <c r="B17" s="22" t="s">
        <v>203</v>
      </c>
      <c r="C17" s="22">
        <v>320.0</v>
      </c>
    </row>
    <row r="18">
      <c r="A18" s="111" t="s">
        <v>195</v>
      </c>
      <c r="B18" s="22" t="s">
        <v>207</v>
      </c>
      <c r="C18" s="22">
        <v>690.0</v>
      </c>
    </row>
    <row r="19">
      <c r="A19" s="111" t="s">
        <v>208</v>
      </c>
      <c r="D19" s="22" t="s">
        <v>210</v>
      </c>
    </row>
    <row r="20">
      <c r="A20" s="111" t="s">
        <v>212</v>
      </c>
      <c r="B20" s="22" t="s">
        <v>185</v>
      </c>
      <c r="C20" s="105">
        <v>12200.0</v>
      </c>
    </row>
    <row r="21">
      <c r="A21" s="111" t="s">
        <v>214</v>
      </c>
      <c r="B21" s="22" t="s">
        <v>216</v>
      </c>
      <c r="C21" s="22">
        <v>3000.0</v>
      </c>
    </row>
    <row r="22">
      <c r="A22" s="111" t="s">
        <v>219</v>
      </c>
      <c r="B22" s="22" t="s">
        <v>220</v>
      </c>
      <c r="C22" s="105">
        <v>30000.0</v>
      </c>
    </row>
    <row r="23">
      <c r="A23" s="111" t="s">
        <v>219</v>
      </c>
      <c r="B23" s="22" t="s">
        <v>224</v>
      </c>
      <c r="C23" s="22">
        <v>3200.0</v>
      </c>
    </row>
    <row r="24">
      <c r="A24" s="111" t="s">
        <v>226</v>
      </c>
      <c r="B24" s="22" t="s">
        <v>227</v>
      </c>
      <c r="C24" s="22">
        <v>6000.0</v>
      </c>
    </row>
    <row r="25">
      <c r="A25" s="111" t="s">
        <v>229</v>
      </c>
      <c r="B25" s="22" t="s">
        <v>27</v>
      </c>
      <c r="C25" s="22">
        <v>2000.0</v>
      </c>
      <c r="D25" s="22" t="s">
        <v>231</v>
      </c>
    </row>
    <row r="26">
      <c r="A26" s="125"/>
    </row>
    <row r="27">
      <c r="A27" s="125"/>
      <c r="B27" s="101" t="s">
        <v>238</v>
      </c>
      <c r="C27" s="101" t="s">
        <v>239</v>
      </c>
    </row>
    <row r="28">
      <c r="A28" s="125"/>
    </row>
    <row r="29">
      <c r="A29" s="125"/>
    </row>
    <row r="30">
      <c r="A30" s="125"/>
    </row>
    <row r="31">
      <c r="A31" s="125"/>
    </row>
    <row r="32">
      <c r="A32" s="125"/>
    </row>
    <row r="33">
      <c r="A33" s="125"/>
    </row>
    <row r="34">
      <c r="A34" s="125"/>
    </row>
    <row r="35">
      <c r="A35" s="125"/>
    </row>
    <row r="36">
      <c r="A36" s="125"/>
    </row>
    <row r="37">
      <c r="A37" s="125"/>
    </row>
    <row r="38">
      <c r="A38" s="125"/>
    </row>
    <row r="39">
      <c r="A39" s="125"/>
    </row>
    <row r="40">
      <c r="A40" s="125"/>
    </row>
    <row r="41">
      <c r="A41" s="125"/>
    </row>
    <row r="42">
      <c r="A42" s="125"/>
    </row>
    <row r="43">
      <c r="A43" s="125"/>
    </row>
    <row r="44">
      <c r="A44" s="125"/>
    </row>
    <row r="45">
      <c r="A45" s="125"/>
    </row>
    <row r="46">
      <c r="A46" s="125"/>
    </row>
    <row r="47">
      <c r="A47" s="125"/>
    </row>
    <row r="48">
      <c r="A48" s="125"/>
    </row>
    <row r="49">
      <c r="A49" s="125"/>
    </row>
    <row r="50">
      <c r="A50" s="125"/>
    </row>
    <row r="51">
      <c r="A51" s="125"/>
    </row>
    <row r="52">
      <c r="A52" s="125"/>
    </row>
    <row r="53">
      <c r="A53" s="125"/>
    </row>
    <row r="54">
      <c r="A54" s="125"/>
    </row>
    <row r="55">
      <c r="A55" s="125"/>
    </row>
    <row r="56">
      <c r="A56" s="125"/>
    </row>
    <row r="57">
      <c r="A57" s="125"/>
    </row>
    <row r="58">
      <c r="A58" s="125"/>
    </row>
    <row r="59">
      <c r="A59" s="125"/>
    </row>
    <row r="60">
      <c r="A60" s="125"/>
    </row>
    <row r="61">
      <c r="A61" s="125"/>
    </row>
    <row r="62">
      <c r="A62" s="125"/>
    </row>
    <row r="63">
      <c r="A63" s="125"/>
    </row>
    <row r="64">
      <c r="A64" s="125"/>
    </row>
    <row r="65">
      <c r="A65" s="125"/>
    </row>
    <row r="66">
      <c r="A66" s="125"/>
    </row>
    <row r="67">
      <c r="A67" s="125"/>
    </row>
    <row r="68">
      <c r="A68" s="125"/>
    </row>
    <row r="69">
      <c r="A69" s="125"/>
    </row>
    <row r="70">
      <c r="A70" s="125"/>
    </row>
    <row r="71">
      <c r="A71" s="125"/>
    </row>
    <row r="72">
      <c r="A72" s="125"/>
    </row>
    <row r="73">
      <c r="A73" s="125"/>
    </row>
    <row r="74">
      <c r="A74" s="125"/>
    </row>
    <row r="75">
      <c r="A75" s="125"/>
    </row>
    <row r="76">
      <c r="A76" s="125"/>
    </row>
    <row r="77">
      <c r="A77" s="125"/>
    </row>
    <row r="78">
      <c r="A78" s="125"/>
    </row>
    <row r="79">
      <c r="A79" s="125"/>
    </row>
    <row r="80">
      <c r="A80" s="125"/>
    </row>
    <row r="81">
      <c r="A81" s="125"/>
    </row>
    <row r="82">
      <c r="A82" s="125"/>
    </row>
    <row r="83">
      <c r="A83" s="125"/>
    </row>
    <row r="84">
      <c r="A84" s="125"/>
    </row>
    <row r="85">
      <c r="A85" s="125"/>
    </row>
    <row r="86">
      <c r="A86" s="125"/>
    </row>
    <row r="87">
      <c r="A87" s="125"/>
    </row>
    <row r="88">
      <c r="A88" s="125"/>
    </row>
    <row r="89">
      <c r="A89" s="125"/>
    </row>
    <row r="90">
      <c r="A90" s="125"/>
    </row>
    <row r="91">
      <c r="A91" s="125"/>
    </row>
    <row r="92">
      <c r="A92" s="125"/>
    </row>
    <row r="93">
      <c r="A93" s="125"/>
    </row>
    <row r="94">
      <c r="A94" s="125"/>
    </row>
    <row r="95">
      <c r="A95" s="125"/>
    </row>
    <row r="96">
      <c r="A96" s="125"/>
    </row>
    <row r="97">
      <c r="A97" s="125"/>
    </row>
    <row r="98">
      <c r="A98" s="125"/>
    </row>
    <row r="99">
      <c r="A99" s="125"/>
    </row>
    <row r="100">
      <c r="A100" s="125"/>
    </row>
    <row r="101">
      <c r="A101" s="125"/>
    </row>
    <row r="102">
      <c r="A102" s="125"/>
    </row>
    <row r="103">
      <c r="A103" s="125"/>
    </row>
    <row r="104">
      <c r="A104" s="125"/>
    </row>
    <row r="105">
      <c r="A105" s="125"/>
    </row>
    <row r="106">
      <c r="A106" s="125"/>
    </row>
    <row r="107">
      <c r="A107" s="125"/>
    </row>
    <row r="108">
      <c r="A108" s="125"/>
    </row>
    <row r="109">
      <c r="A109" s="125"/>
    </row>
    <row r="110">
      <c r="A110" s="125"/>
    </row>
    <row r="111">
      <c r="A111" s="125"/>
    </row>
    <row r="112">
      <c r="A112" s="125"/>
    </row>
    <row r="113">
      <c r="A113" s="125"/>
    </row>
    <row r="114">
      <c r="A114" s="125"/>
    </row>
    <row r="115">
      <c r="A115" s="125"/>
    </row>
    <row r="116">
      <c r="A116" s="125"/>
    </row>
    <row r="117">
      <c r="A117" s="125"/>
    </row>
    <row r="118">
      <c r="A118" s="125"/>
    </row>
    <row r="119">
      <c r="A119" s="125"/>
    </row>
    <row r="120">
      <c r="A120" s="125"/>
    </row>
    <row r="121">
      <c r="A121" s="125"/>
    </row>
    <row r="122">
      <c r="A122" s="125"/>
    </row>
    <row r="123">
      <c r="A123" s="125"/>
    </row>
    <row r="124">
      <c r="A124" s="125"/>
    </row>
    <row r="125">
      <c r="A125" s="125"/>
    </row>
    <row r="126">
      <c r="A126" s="125"/>
    </row>
    <row r="127">
      <c r="A127" s="125"/>
    </row>
    <row r="128">
      <c r="A128" s="125"/>
    </row>
    <row r="129">
      <c r="A129" s="125"/>
    </row>
    <row r="130">
      <c r="A130" s="125"/>
    </row>
    <row r="131">
      <c r="A131" s="125"/>
    </row>
    <row r="132">
      <c r="A132" s="125"/>
    </row>
    <row r="133">
      <c r="A133" s="125"/>
    </row>
    <row r="134">
      <c r="A134" s="125"/>
    </row>
    <row r="135">
      <c r="A135" s="125"/>
    </row>
    <row r="136">
      <c r="A136" s="125"/>
    </row>
    <row r="137">
      <c r="A137" s="125"/>
    </row>
    <row r="138">
      <c r="A138" s="125"/>
    </row>
    <row r="139">
      <c r="A139" s="125"/>
    </row>
    <row r="140">
      <c r="A140" s="125"/>
    </row>
    <row r="141">
      <c r="A141" s="125"/>
    </row>
    <row r="142">
      <c r="A142" s="125"/>
    </row>
    <row r="143">
      <c r="A143" s="125"/>
    </row>
    <row r="144">
      <c r="A144" s="125"/>
    </row>
    <row r="145">
      <c r="A145" s="125"/>
    </row>
    <row r="146">
      <c r="A146" s="125"/>
    </row>
    <row r="147">
      <c r="A147" s="125"/>
    </row>
    <row r="148">
      <c r="A148" s="125"/>
    </row>
    <row r="149">
      <c r="A149" s="125"/>
    </row>
    <row r="150">
      <c r="A150" s="125"/>
    </row>
    <row r="151">
      <c r="A151" s="125"/>
    </row>
    <row r="152">
      <c r="A152" s="125"/>
    </row>
    <row r="153">
      <c r="A153" s="125"/>
    </row>
    <row r="154">
      <c r="A154" s="125"/>
    </row>
    <row r="155">
      <c r="A155" s="125"/>
    </row>
    <row r="156">
      <c r="A156" s="125"/>
    </row>
    <row r="157">
      <c r="A157" s="125"/>
    </row>
    <row r="158">
      <c r="A158" s="125"/>
    </row>
    <row r="159">
      <c r="A159" s="125"/>
    </row>
    <row r="160">
      <c r="A160" s="125"/>
    </row>
    <row r="161">
      <c r="A161" s="125"/>
    </row>
    <row r="162">
      <c r="A162" s="125"/>
    </row>
    <row r="163">
      <c r="A163" s="125"/>
    </row>
    <row r="164">
      <c r="A164" s="125"/>
    </row>
    <row r="165">
      <c r="A165" s="125"/>
    </row>
    <row r="166">
      <c r="A166" s="125"/>
    </row>
    <row r="167">
      <c r="A167" s="125"/>
    </row>
    <row r="168">
      <c r="A168" s="125"/>
    </row>
    <row r="169">
      <c r="A169" s="125"/>
    </row>
    <row r="170">
      <c r="A170" s="125"/>
    </row>
    <row r="171">
      <c r="A171" s="125"/>
    </row>
    <row r="172">
      <c r="A172" s="125"/>
    </row>
    <row r="173">
      <c r="A173" s="125"/>
    </row>
    <row r="174">
      <c r="A174" s="125"/>
    </row>
    <row r="175">
      <c r="A175" s="125"/>
    </row>
    <row r="176">
      <c r="A176" s="125"/>
    </row>
    <row r="177">
      <c r="A177" s="125"/>
    </row>
    <row r="178">
      <c r="A178" s="125"/>
    </row>
    <row r="179">
      <c r="A179" s="125"/>
    </row>
    <row r="180">
      <c r="A180" s="125"/>
    </row>
    <row r="181">
      <c r="A181" s="125"/>
    </row>
    <row r="182">
      <c r="A182" s="125"/>
    </row>
    <row r="183">
      <c r="A183" s="125"/>
    </row>
    <row r="184">
      <c r="A184" s="125"/>
    </row>
    <row r="185">
      <c r="A185" s="125"/>
    </row>
    <row r="186">
      <c r="A186" s="125"/>
    </row>
    <row r="187">
      <c r="A187" s="125"/>
    </row>
    <row r="188">
      <c r="A188" s="125"/>
    </row>
    <row r="189">
      <c r="A189" s="125"/>
    </row>
    <row r="190">
      <c r="A190" s="125"/>
    </row>
    <row r="191">
      <c r="A191" s="125"/>
    </row>
    <row r="192">
      <c r="A192" s="125"/>
    </row>
    <row r="193">
      <c r="A193" s="125"/>
    </row>
    <row r="194">
      <c r="A194" s="125"/>
    </row>
    <row r="195">
      <c r="A195" s="125"/>
    </row>
    <row r="196">
      <c r="A196" s="125"/>
    </row>
    <row r="197">
      <c r="A197" s="125"/>
    </row>
    <row r="198">
      <c r="A198" s="125"/>
    </row>
    <row r="199">
      <c r="A199" s="125"/>
    </row>
    <row r="200">
      <c r="A200" s="125"/>
    </row>
    <row r="201">
      <c r="A201" s="125"/>
    </row>
    <row r="202">
      <c r="A202" s="125"/>
    </row>
    <row r="203">
      <c r="A203" s="125"/>
    </row>
    <row r="204">
      <c r="A204" s="125"/>
    </row>
    <row r="205">
      <c r="A205" s="125"/>
    </row>
    <row r="206">
      <c r="A206" s="125"/>
    </row>
    <row r="207">
      <c r="A207" s="125"/>
    </row>
    <row r="208">
      <c r="A208" s="125"/>
    </row>
    <row r="209">
      <c r="A209" s="125"/>
    </row>
    <row r="210">
      <c r="A210" s="125"/>
    </row>
    <row r="211">
      <c r="A211" s="125"/>
    </row>
    <row r="212">
      <c r="A212" s="125"/>
    </row>
    <row r="213">
      <c r="A213" s="125"/>
    </row>
    <row r="214">
      <c r="A214" s="125"/>
    </row>
    <row r="215">
      <c r="A215" s="125"/>
    </row>
    <row r="216">
      <c r="A216" s="125"/>
    </row>
    <row r="217">
      <c r="A217" s="125"/>
    </row>
    <row r="218">
      <c r="A218" s="125"/>
    </row>
    <row r="219">
      <c r="A219" s="125"/>
    </row>
    <row r="220">
      <c r="A220" s="125"/>
    </row>
    <row r="221">
      <c r="A221" s="125"/>
    </row>
    <row r="222">
      <c r="A222" s="125"/>
    </row>
    <row r="223">
      <c r="A223" s="125"/>
    </row>
    <row r="224">
      <c r="A224" s="125"/>
    </row>
    <row r="225">
      <c r="A225" s="125"/>
    </row>
    <row r="226">
      <c r="A226" s="125"/>
    </row>
    <row r="227">
      <c r="A227" s="125"/>
    </row>
    <row r="228">
      <c r="A228" s="125"/>
    </row>
    <row r="229">
      <c r="A229" s="125"/>
    </row>
    <row r="230">
      <c r="A230" s="125"/>
    </row>
    <row r="231">
      <c r="A231" s="125"/>
    </row>
    <row r="232">
      <c r="A232" s="125"/>
    </row>
    <row r="233">
      <c r="A233" s="125"/>
    </row>
    <row r="234">
      <c r="A234" s="125"/>
    </row>
    <row r="235">
      <c r="A235" s="125"/>
    </row>
    <row r="236">
      <c r="A236" s="125"/>
    </row>
    <row r="237">
      <c r="A237" s="125"/>
    </row>
    <row r="238">
      <c r="A238" s="125"/>
    </row>
    <row r="239">
      <c r="A239" s="125"/>
    </row>
    <row r="240">
      <c r="A240" s="125"/>
    </row>
    <row r="241">
      <c r="A241" s="125"/>
    </row>
    <row r="242">
      <c r="A242" s="125"/>
    </row>
    <row r="243">
      <c r="A243" s="125"/>
    </row>
    <row r="244">
      <c r="A244" s="125"/>
    </row>
    <row r="245">
      <c r="A245" s="125"/>
    </row>
    <row r="246">
      <c r="A246" s="125"/>
    </row>
    <row r="247">
      <c r="A247" s="125"/>
    </row>
    <row r="248">
      <c r="A248" s="125"/>
    </row>
    <row r="249">
      <c r="A249" s="125"/>
    </row>
    <row r="250">
      <c r="A250" s="125"/>
    </row>
    <row r="251">
      <c r="A251" s="125"/>
    </row>
    <row r="252">
      <c r="A252" s="125"/>
    </row>
    <row r="253">
      <c r="A253" s="125"/>
    </row>
    <row r="254">
      <c r="A254" s="125"/>
    </row>
    <row r="255">
      <c r="A255" s="125"/>
    </row>
    <row r="256">
      <c r="A256" s="125"/>
    </row>
    <row r="257">
      <c r="A257" s="125"/>
    </row>
    <row r="258">
      <c r="A258" s="125"/>
    </row>
    <row r="259">
      <c r="A259" s="125"/>
    </row>
    <row r="260">
      <c r="A260" s="125"/>
    </row>
    <row r="261">
      <c r="A261" s="125"/>
    </row>
    <row r="262">
      <c r="A262" s="125"/>
    </row>
    <row r="263">
      <c r="A263" s="125"/>
    </row>
    <row r="264">
      <c r="A264" s="125"/>
    </row>
    <row r="265">
      <c r="A265" s="125"/>
    </row>
    <row r="266">
      <c r="A266" s="125"/>
    </row>
    <row r="267">
      <c r="A267" s="125"/>
    </row>
    <row r="268">
      <c r="A268" s="125"/>
    </row>
    <row r="269">
      <c r="A269" s="125"/>
    </row>
    <row r="270">
      <c r="A270" s="125"/>
    </row>
    <row r="271">
      <c r="A271" s="125"/>
    </row>
    <row r="272">
      <c r="A272" s="125"/>
    </row>
    <row r="273">
      <c r="A273" s="125"/>
    </row>
    <row r="274">
      <c r="A274" s="125"/>
    </row>
    <row r="275">
      <c r="A275" s="125"/>
    </row>
    <row r="276">
      <c r="A276" s="125"/>
    </row>
    <row r="277">
      <c r="A277" s="125"/>
    </row>
    <row r="278">
      <c r="A278" s="125"/>
    </row>
    <row r="279">
      <c r="A279" s="125"/>
    </row>
    <row r="280">
      <c r="A280" s="125"/>
    </row>
    <row r="281">
      <c r="A281" s="125"/>
    </row>
    <row r="282">
      <c r="A282" s="125"/>
    </row>
    <row r="283">
      <c r="A283" s="125"/>
    </row>
    <row r="284">
      <c r="A284" s="125"/>
    </row>
    <row r="285">
      <c r="A285" s="125"/>
    </row>
    <row r="286">
      <c r="A286" s="125"/>
    </row>
    <row r="287">
      <c r="A287" s="125"/>
    </row>
    <row r="288">
      <c r="A288" s="125"/>
    </row>
    <row r="289">
      <c r="A289" s="125"/>
    </row>
    <row r="290">
      <c r="A290" s="125"/>
    </row>
    <row r="291">
      <c r="A291" s="125"/>
    </row>
    <row r="292">
      <c r="A292" s="125"/>
    </row>
    <row r="293">
      <c r="A293" s="125"/>
    </row>
    <row r="294">
      <c r="A294" s="125"/>
    </row>
    <row r="295">
      <c r="A295" s="125"/>
    </row>
    <row r="296">
      <c r="A296" s="125"/>
    </row>
    <row r="297">
      <c r="A297" s="125"/>
    </row>
    <row r="298">
      <c r="A298" s="125"/>
    </row>
    <row r="299">
      <c r="A299" s="125"/>
    </row>
    <row r="300">
      <c r="A300" s="125"/>
    </row>
    <row r="301">
      <c r="A301" s="125"/>
    </row>
    <row r="302">
      <c r="A302" s="125"/>
    </row>
    <row r="303">
      <c r="A303" s="125"/>
    </row>
    <row r="304">
      <c r="A304" s="125"/>
    </row>
    <row r="305">
      <c r="A305" s="125"/>
    </row>
    <row r="306">
      <c r="A306" s="125"/>
    </row>
    <row r="307">
      <c r="A307" s="125"/>
    </row>
    <row r="308">
      <c r="A308" s="125"/>
    </row>
    <row r="309">
      <c r="A309" s="125"/>
    </row>
    <row r="310">
      <c r="A310" s="125"/>
    </row>
    <row r="311">
      <c r="A311" s="125"/>
    </row>
    <row r="312">
      <c r="A312" s="125"/>
    </row>
    <row r="313">
      <c r="A313" s="125"/>
    </row>
    <row r="314">
      <c r="A314" s="125"/>
    </row>
    <row r="315">
      <c r="A315" s="125"/>
    </row>
    <row r="316">
      <c r="A316" s="125"/>
    </row>
    <row r="317">
      <c r="A317" s="125"/>
    </row>
    <row r="318">
      <c r="A318" s="125"/>
    </row>
    <row r="319">
      <c r="A319" s="125"/>
    </row>
    <row r="320">
      <c r="A320" s="125"/>
    </row>
    <row r="321">
      <c r="A321" s="125"/>
    </row>
    <row r="322">
      <c r="A322" s="125"/>
    </row>
    <row r="323">
      <c r="A323" s="125"/>
    </row>
    <row r="324">
      <c r="A324" s="125"/>
    </row>
    <row r="325">
      <c r="A325" s="125"/>
    </row>
    <row r="326">
      <c r="A326" s="125"/>
    </row>
    <row r="327">
      <c r="A327" s="125"/>
    </row>
    <row r="328">
      <c r="A328" s="125"/>
    </row>
    <row r="329">
      <c r="A329" s="125"/>
    </row>
    <row r="330">
      <c r="A330" s="125"/>
    </row>
    <row r="331">
      <c r="A331" s="125"/>
    </row>
    <row r="332">
      <c r="A332" s="125"/>
    </row>
    <row r="333">
      <c r="A333" s="125"/>
    </row>
    <row r="334">
      <c r="A334" s="125"/>
    </row>
    <row r="335">
      <c r="A335" s="125"/>
    </row>
    <row r="336">
      <c r="A336" s="125"/>
    </row>
    <row r="337">
      <c r="A337" s="125"/>
    </row>
    <row r="338">
      <c r="A338" s="125"/>
    </row>
    <row r="339">
      <c r="A339" s="125"/>
    </row>
    <row r="340">
      <c r="A340" s="125"/>
    </row>
    <row r="341">
      <c r="A341" s="125"/>
    </row>
    <row r="342">
      <c r="A342" s="125"/>
    </row>
    <row r="343">
      <c r="A343" s="125"/>
    </row>
    <row r="344">
      <c r="A344" s="125"/>
    </row>
    <row r="345">
      <c r="A345" s="125"/>
    </row>
    <row r="346">
      <c r="A346" s="125"/>
    </row>
    <row r="347">
      <c r="A347" s="125"/>
    </row>
    <row r="348">
      <c r="A348" s="125"/>
    </row>
    <row r="349">
      <c r="A349" s="125"/>
    </row>
    <row r="350">
      <c r="A350" s="125"/>
    </row>
    <row r="351">
      <c r="A351" s="125"/>
    </row>
    <row r="352">
      <c r="A352" s="125"/>
    </row>
    <row r="353">
      <c r="A353" s="125"/>
    </row>
    <row r="354">
      <c r="A354" s="125"/>
    </row>
    <row r="355">
      <c r="A355" s="125"/>
    </row>
    <row r="356">
      <c r="A356" s="125"/>
    </row>
    <row r="357">
      <c r="A357" s="125"/>
    </row>
    <row r="358">
      <c r="A358" s="125"/>
    </row>
    <row r="359">
      <c r="A359" s="125"/>
    </row>
    <row r="360">
      <c r="A360" s="125"/>
    </row>
    <row r="361">
      <c r="A361" s="125"/>
    </row>
    <row r="362">
      <c r="A362" s="125"/>
    </row>
    <row r="363">
      <c r="A363" s="125"/>
    </row>
    <row r="364">
      <c r="A364" s="125"/>
    </row>
    <row r="365">
      <c r="A365" s="125"/>
    </row>
    <row r="366">
      <c r="A366" s="125"/>
    </row>
    <row r="367">
      <c r="A367" s="125"/>
    </row>
    <row r="368">
      <c r="A368" s="125"/>
    </row>
    <row r="369">
      <c r="A369" s="125"/>
    </row>
    <row r="370">
      <c r="A370" s="125"/>
    </row>
    <row r="371">
      <c r="A371" s="125"/>
    </row>
    <row r="372">
      <c r="A372" s="125"/>
    </row>
    <row r="373">
      <c r="A373" s="125"/>
    </row>
    <row r="374">
      <c r="A374" s="125"/>
    </row>
    <row r="375">
      <c r="A375" s="125"/>
    </row>
    <row r="376">
      <c r="A376" s="125"/>
    </row>
    <row r="377">
      <c r="A377" s="125"/>
    </row>
    <row r="378">
      <c r="A378" s="125"/>
    </row>
    <row r="379">
      <c r="A379" s="125"/>
    </row>
    <row r="380">
      <c r="A380" s="125"/>
    </row>
    <row r="381">
      <c r="A381" s="125"/>
    </row>
    <row r="382">
      <c r="A382" s="125"/>
    </row>
    <row r="383">
      <c r="A383" s="125"/>
    </row>
    <row r="384">
      <c r="A384" s="125"/>
    </row>
    <row r="385">
      <c r="A385" s="125"/>
    </row>
    <row r="386">
      <c r="A386" s="125"/>
    </row>
    <row r="387">
      <c r="A387" s="125"/>
    </row>
    <row r="388">
      <c r="A388" s="125"/>
    </row>
    <row r="389">
      <c r="A389" s="125"/>
    </row>
    <row r="390">
      <c r="A390" s="125"/>
    </row>
    <row r="391">
      <c r="A391" s="125"/>
    </row>
    <row r="392">
      <c r="A392" s="125"/>
    </row>
    <row r="393">
      <c r="A393" s="125"/>
    </row>
    <row r="394">
      <c r="A394" s="125"/>
    </row>
    <row r="395">
      <c r="A395" s="125"/>
    </row>
    <row r="396">
      <c r="A396" s="125"/>
    </row>
    <row r="397">
      <c r="A397" s="125"/>
    </row>
    <row r="398">
      <c r="A398" s="125"/>
    </row>
    <row r="399">
      <c r="A399" s="125"/>
    </row>
    <row r="400">
      <c r="A400" s="125"/>
    </row>
    <row r="401">
      <c r="A401" s="125"/>
    </row>
    <row r="402">
      <c r="A402" s="125"/>
    </row>
    <row r="403">
      <c r="A403" s="125"/>
    </row>
    <row r="404">
      <c r="A404" s="125"/>
    </row>
    <row r="405">
      <c r="A405" s="125"/>
    </row>
    <row r="406">
      <c r="A406" s="125"/>
    </row>
    <row r="407">
      <c r="A407" s="125"/>
    </row>
    <row r="408">
      <c r="A408" s="125"/>
    </row>
    <row r="409">
      <c r="A409" s="125"/>
    </row>
    <row r="410">
      <c r="A410" s="125"/>
    </row>
    <row r="411">
      <c r="A411" s="125"/>
    </row>
    <row r="412">
      <c r="A412" s="125"/>
    </row>
    <row r="413">
      <c r="A413" s="125"/>
    </row>
    <row r="414">
      <c r="A414" s="125"/>
    </row>
    <row r="415">
      <c r="A415" s="125"/>
    </row>
    <row r="416">
      <c r="A416" s="125"/>
    </row>
    <row r="417">
      <c r="A417" s="125"/>
    </row>
    <row r="418">
      <c r="A418" s="125"/>
    </row>
    <row r="419">
      <c r="A419" s="125"/>
    </row>
    <row r="420">
      <c r="A420" s="125"/>
    </row>
    <row r="421">
      <c r="A421" s="125"/>
    </row>
    <row r="422">
      <c r="A422" s="125"/>
    </row>
    <row r="423">
      <c r="A423" s="125"/>
    </row>
    <row r="424">
      <c r="A424" s="125"/>
    </row>
    <row r="425">
      <c r="A425" s="125"/>
    </row>
    <row r="426">
      <c r="A426" s="125"/>
    </row>
    <row r="427">
      <c r="A427" s="125"/>
    </row>
    <row r="428">
      <c r="A428" s="125"/>
    </row>
    <row r="429">
      <c r="A429" s="125"/>
    </row>
    <row r="430">
      <c r="A430" s="125"/>
    </row>
    <row r="431">
      <c r="A431" s="125"/>
    </row>
    <row r="432">
      <c r="A432" s="125"/>
    </row>
    <row r="433">
      <c r="A433" s="125"/>
    </row>
    <row r="434">
      <c r="A434" s="125"/>
    </row>
    <row r="435">
      <c r="A435" s="125"/>
    </row>
    <row r="436">
      <c r="A436" s="125"/>
    </row>
    <row r="437">
      <c r="A437" s="125"/>
    </row>
    <row r="438">
      <c r="A438" s="125"/>
    </row>
    <row r="439">
      <c r="A439" s="125"/>
    </row>
    <row r="440">
      <c r="A440" s="125"/>
    </row>
    <row r="441">
      <c r="A441" s="125"/>
    </row>
    <row r="442">
      <c r="A442" s="125"/>
    </row>
    <row r="443">
      <c r="A443" s="125"/>
    </row>
    <row r="444">
      <c r="A444" s="125"/>
    </row>
    <row r="445">
      <c r="A445" s="125"/>
    </row>
    <row r="446">
      <c r="A446" s="125"/>
    </row>
    <row r="447">
      <c r="A447" s="125"/>
    </row>
    <row r="448">
      <c r="A448" s="125"/>
    </row>
    <row r="449">
      <c r="A449" s="125"/>
    </row>
    <row r="450">
      <c r="A450" s="125"/>
    </row>
    <row r="451">
      <c r="A451" s="125"/>
    </row>
    <row r="452">
      <c r="A452" s="125"/>
    </row>
    <row r="453">
      <c r="A453" s="125"/>
    </row>
    <row r="454">
      <c r="A454" s="125"/>
    </row>
    <row r="455">
      <c r="A455" s="125"/>
    </row>
    <row r="456">
      <c r="A456" s="125"/>
    </row>
    <row r="457">
      <c r="A457" s="125"/>
    </row>
    <row r="458">
      <c r="A458" s="125"/>
    </row>
    <row r="459">
      <c r="A459" s="125"/>
    </row>
    <row r="460">
      <c r="A460" s="125"/>
    </row>
    <row r="461">
      <c r="A461" s="125"/>
    </row>
    <row r="462">
      <c r="A462" s="125"/>
    </row>
    <row r="463">
      <c r="A463" s="125"/>
    </row>
    <row r="464">
      <c r="A464" s="125"/>
    </row>
    <row r="465">
      <c r="A465" s="125"/>
    </row>
    <row r="466">
      <c r="A466" s="125"/>
    </row>
    <row r="467">
      <c r="A467" s="125"/>
    </row>
    <row r="468">
      <c r="A468" s="125"/>
    </row>
    <row r="469">
      <c r="A469" s="125"/>
    </row>
    <row r="470">
      <c r="A470" s="125"/>
    </row>
    <row r="471">
      <c r="A471" s="125"/>
    </row>
    <row r="472">
      <c r="A472" s="125"/>
    </row>
    <row r="473">
      <c r="A473" s="125"/>
    </row>
    <row r="474">
      <c r="A474" s="125"/>
    </row>
    <row r="475">
      <c r="A475" s="125"/>
    </row>
    <row r="476">
      <c r="A476" s="125"/>
    </row>
    <row r="477">
      <c r="A477" s="125"/>
    </row>
    <row r="478">
      <c r="A478" s="125"/>
    </row>
    <row r="479">
      <c r="A479" s="125"/>
    </row>
    <row r="480">
      <c r="A480" s="125"/>
    </row>
    <row r="481">
      <c r="A481" s="125"/>
    </row>
    <row r="482">
      <c r="A482" s="125"/>
    </row>
    <row r="483">
      <c r="A483" s="125"/>
    </row>
    <row r="484">
      <c r="A484" s="125"/>
    </row>
    <row r="485">
      <c r="A485" s="125"/>
    </row>
    <row r="486">
      <c r="A486" s="125"/>
    </row>
    <row r="487">
      <c r="A487" s="125"/>
    </row>
    <row r="488">
      <c r="A488" s="125"/>
    </row>
    <row r="489">
      <c r="A489" s="125"/>
    </row>
    <row r="490">
      <c r="A490" s="125"/>
    </row>
    <row r="491">
      <c r="A491" s="125"/>
    </row>
    <row r="492">
      <c r="A492" s="125"/>
    </row>
    <row r="493">
      <c r="A493" s="125"/>
    </row>
    <row r="494">
      <c r="A494" s="125"/>
    </row>
    <row r="495">
      <c r="A495" s="125"/>
    </row>
    <row r="496">
      <c r="A496" s="125"/>
    </row>
    <row r="497">
      <c r="A497" s="125"/>
    </row>
    <row r="498">
      <c r="A498" s="125"/>
    </row>
    <row r="499">
      <c r="A499" s="125"/>
    </row>
    <row r="500">
      <c r="A500" s="125"/>
    </row>
    <row r="501">
      <c r="A501" s="125"/>
    </row>
    <row r="502">
      <c r="A502" s="125"/>
    </row>
    <row r="503">
      <c r="A503" s="125"/>
    </row>
    <row r="504">
      <c r="A504" s="125"/>
    </row>
    <row r="505">
      <c r="A505" s="125"/>
    </row>
    <row r="506">
      <c r="A506" s="125"/>
    </row>
    <row r="507">
      <c r="A507" s="125"/>
    </row>
    <row r="508">
      <c r="A508" s="125"/>
    </row>
    <row r="509">
      <c r="A509" s="125"/>
    </row>
    <row r="510">
      <c r="A510" s="125"/>
    </row>
    <row r="511">
      <c r="A511" s="125"/>
    </row>
    <row r="512">
      <c r="A512" s="125"/>
    </row>
    <row r="513">
      <c r="A513" s="125"/>
    </row>
    <row r="514">
      <c r="A514" s="125"/>
    </row>
    <row r="515">
      <c r="A515" s="125"/>
    </row>
    <row r="516">
      <c r="A516" s="125"/>
    </row>
    <row r="517">
      <c r="A517" s="125"/>
    </row>
    <row r="518">
      <c r="A518" s="125"/>
    </row>
    <row r="519">
      <c r="A519" s="125"/>
    </row>
    <row r="520">
      <c r="A520" s="125"/>
    </row>
    <row r="521">
      <c r="A521" s="125"/>
    </row>
    <row r="522">
      <c r="A522" s="125"/>
    </row>
    <row r="523">
      <c r="A523" s="125"/>
    </row>
    <row r="524">
      <c r="A524" s="125"/>
    </row>
    <row r="525">
      <c r="A525" s="125"/>
    </row>
    <row r="526">
      <c r="A526" s="125"/>
    </row>
    <row r="527">
      <c r="A527" s="125"/>
    </row>
    <row r="528">
      <c r="A528" s="125"/>
    </row>
    <row r="529">
      <c r="A529" s="125"/>
    </row>
    <row r="530">
      <c r="A530" s="125"/>
    </row>
    <row r="531">
      <c r="A531" s="125"/>
    </row>
    <row r="532">
      <c r="A532" s="125"/>
    </row>
    <row r="533">
      <c r="A533" s="125"/>
    </row>
    <row r="534">
      <c r="A534" s="125"/>
    </row>
    <row r="535">
      <c r="A535" s="125"/>
    </row>
    <row r="536">
      <c r="A536" s="125"/>
    </row>
    <row r="537">
      <c r="A537" s="125"/>
    </row>
    <row r="538">
      <c r="A538" s="125"/>
    </row>
    <row r="539">
      <c r="A539" s="125"/>
    </row>
    <row r="540">
      <c r="A540" s="125"/>
    </row>
    <row r="541">
      <c r="A541" s="125"/>
    </row>
    <row r="542">
      <c r="A542" s="125"/>
    </row>
    <row r="543">
      <c r="A543" s="125"/>
    </row>
    <row r="544">
      <c r="A544" s="125"/>
    </row>
    <row r="545">
      <c r="A545" s="125"/>
    </row>
    <row r="546">
      <c r="A546" s="125"/>
    </row>
    <row r="547">
      <c r="A547" s="125"/>
    </row>
    <row r="548">
      <c r="A548" s="125"/>
    </row>
    <row r="549">
      <c r="A549" s="125"/>
    </row>
    <row r="550">
      <c r="A550" s="125"/>
    </row>
    <row r="551">
      <c r="A551" s="125"/>
    </row>
    <row r="552">
      <c r="A552" s="125"/>
    </row>
    <row r="553">
      <c r="A553" s="125"/>
    </row>
    <row r="554">
      <c r="A554" s="125"/>
    </row>
    <row r="555">
      <c r="A555" s="125"/>
    </row>
    <row r="556">
      <c r="A556" s="125"/>
    </row>
    <row r="557">
      <c r="A557" s="125"/>
    </row>
    <row r="558">
      <c r="A558" s="125"/>
    </row>
    <row r="559">
      <c r="A559" s="125"/>
    </row>
    <row r="560">
      <c r="A560" s="125"/>
    </row>
    <row r="561">
      <c r="A561" s="125"/>
    </row>
    <row r="562">
      <c r="A562" s="125"/>
    </row>
    <row r="563">
      <c r="A563" s="125"/>
    </row>
    <row r="564">
      <c r="A564" s="125"/>
    </row>
    <row r="565">
      <c r="A565" s="125"/>
    </row>
    <row r="566">
      <c r="A566" s="125"/>
    </row>
    <row r="567">
      <c r="A567" s="125"/>
    </row>
    <row r="568">
      <c r="A568" s="125"/>
    </row>
    <row r="569">
      <c r="A569" s="125"/>
    </row>
    <row r="570">
      <c r="A570" s="125"/>
    </row>
    <row r="571">
      <c r="A571" s="125"/>
    </row>
    <row r="572">
      <c r="A572" s="125"/>
    </row>
    <row r="573">
      <c r="A573" s="125"/>
    </row>
    <row r="574">
      <c r="A574" s="125"/>
    </row>
    <row r="575">
      <c r="A575" s="125"/>
    </row>
    <row r="576">
      <c r="A576" s="125"/>
    </row>
    <row r="577">
      <c r="A577" s="125"/>
    </row>
    <row r="578">
      <c r="A578" s="125"/>
    </row>
    <row r="579">
      <c r="A579" s="125"/>
    </row>
    <row r="580">
      <c r="A580" s="125"/>
    </row>
    <row r="581">
      <c r="A581" s="125"/>
    </row>
    <row r="582">
      <c r="A582" s="125"/>
    </row>
    <row r="583">
      <c r="A583" s="125"/>
    </row>
    <row r="584">
      <c r="A584" s="125"/>
    </row>
    <row r="585">
      <c r="A585" s="125"/>
    </row>
    <row r="586">
      <c r="A586" s="125"/>
    </row>
    <row r="587">
      <c r="A587" s="125"/>
    </row>
    <row r="588">
      <c r="A588" s="125"/>
    </row>
    <row r="589">
      <c r="A589" s="125"/>
    </row>
    <row r="590">
      <c r="A590" s="125"/>
    </row>
    <row r="591">
      <c r="A591" s="125"/>
    </row>
    <row r="592">
      <c r="A592" s="125"/>
    </row>
    <row r="593">
      <c r="A593" s="125"/>
    </row>
    <row r="594">
      <c r="A594" s="125"/>
    </row>
    <row r="595">
      <c r="A595" s="125"/>
    </row>
    <row r="596">
      <c r="A596" s="125"/>
    </row>
    <row r="597">
      <c r="A597" s="125"/>
    </row>
    <row r="598">
      <c r="A598" s="125"/>
    </row>
    <row r="599">
      <c r="A599" s="125"/>
    </row>
    <row r="600">
      <c r="A600" s="125"/>
    </row>
    <row r="601">
      <c r="A601" s="125"/>
    </row>
    <row r="602">
      <c r="A602" s="125"/>
    </row>
    <row r="603">
      <c r="A603" s="125"/>
    </row>
    <row r="604">
      <c r="A604" s="125"/>
    </row>
    <row r="605">
      <c r="A605" s="125"/>
    </row>
    <row r="606">
      <c r="A606" s="125"/>
    </row>
    <row r="607">
      <c r="A607" s="125"/>
    </row>
    <row r="608">
      <c r="A608" s="125"/>
    </row>
    <row r="609">
      <c r="A609" s="125"/>
    </row>
    <row r="610">
      <c r="A610" s="125"/>
    </row>
    <row r="611">
      <c r="A611" s="125"/>
    </row>
    <row r="612">
      <c r="A612" s="125"/>
    </row>
    <row r="613">
      <c r="A613" s="125"/>
    </row>
    <row r="614">
      <c r="A614" s="125"/>
    </row>
    <row r="615">
      <c r="A615" s="125"/>
    </row>
    <row r="616">
      <c r="A616" s="125"/>
    </row>
    <row r="617">
      <c r="A617" s="125"/>
    </row>
    <row r="618">
      <c r="A618" s="125"/>
    </row>
    <row r="619">
      <c r="A619" s="125"/>
    </row>
    <row r="620">
      <c r="A620" s="125"/>
    </row>
    <row r="621">
      <c r="A621" s="125"/>
    </row>
    <row r="622">
      <c r="A622" s="125"/>
    </row>
    <row r="623">
      <c r="A623" s="125"/>
    </row>
    <row r="624">
      <c r="A624" s="125"/>
    </row>
    <row r="625">
      <c r="A625" s="125"/>
    </row>
    <row r="626">
      <c r="A626" s="125"/>
    </row>
    <row r="627">
      <c r="A627" s="125"/>
    </row>
    <row r="628">
      <c r="A628" s="125"/>
    </row>
    <row r="629">
      <c r="A629" s="125"/>
    </row>
    <row r="630">
      <c r="A630" s="125"/>
    </row>
    <row r="631">
      <c r="A631" s="125"/>
    </row>
    <row r="632">
      <c r="A632" s="125"/>
    </row>
    <row r="633">
      <c r="A633" s="125"/>
    </row>
    <row r="634">
      <c r="A634" s="125"/>
    </row>
    <row r="635">
      <c r="A635" s="125"/>
    </row>
    <row r="636">
      <c r="A636" s="125"/>
    </row>
    <row r="637">
      <c r="A637" s="125"/>
    </row>
    <row r="638">
      <c r="A638" s="125"/>
    </row>
    <row r="639">
      <c r="A639" s="125"/>
    </row>
    <row r="640">
      <c r="A640" s="125"/>
    </row>
    <row r="641">
      <c r="A641" s="125"/>
    </row>
    <row r="642">
      <c r="A642" s="125"/>
    </row>
    <row r="643">
      <c r="A643" s="125"/>
    </row>
    <row r="644">
      <c r="A644" s="125"/>
    </row>
    <row r="645">
      <c r="A645" s="125"/>
    </row>
    <row r="646">
      <c r="A646" s="125"/>
    </row>
    <row r="647">
      <c r="A647" s="125"/>
    </row>
    <row r="648">
      <c r="A648" s="125"/>
    </row>
    <row r="649">
      <c r="A649" s="125"/>
    </row>
    <row r="650">
      <c r="A650" s="125"/>
    </row>
    <row r="651">
      <c r="A651" s="125"/>
    </row>
    <row r="652">
      <c r="A652" s="125"/>
    </row>
    <row r="653">
      <c r="A653" s="125"/>
    </row>
    <row r="654">
      <c r="A654" s="125"/>
    </row>
    <row r="655">
      <c r="A655" s="125"/>
    </row>
    <row r="656">
      <c r="A656" s="125"/>
    </row>
    <row r="657">
      <c r="A657" s="125"/>
    </row>
    <row r="658">
      <c r="A658" s="125"/>
    </row>
    <row r="659">
      <c r="A659" s="125"/>
    </row>
    <row r="660">
      <c r="A660" s="125"/>
    </row>
    <row r="661">
      <c r="A661" s="125"/>
    </row>
    <row r="662">
      <c r="A662" s="125"/>
    </row>
    <row r="663">
      <c r="A663" s="125"/>
    </row>
    <row r="664">
      <c r="A664" s="125"/>
    </row>
    <row r="665">
      <c r="A665" s="125"/>
    </row>
    <row r="666">
      <c r="A666" s="125"/>
    </row>
    <row r="667">
      <c r="A667" s="125"/>
    </row>
    <row r="668">
      <c r="A668" s="125"/>
    </row>
    <row r="669">
      <c r="A669" s="125"/>
    </row>
    <row r="670">
      <c r="A670" s="125"/>
    </row>
    <row r="671">
      <c r="A671" s="125"/>
    </row>
    <row r="672">
      <c r="A672" s="125"/>
    </row>
    <row r="673">
      <c r="A673" s="125"/>
    </row>
    <row r="674">
      <c r="A674" s="125"/>
    </row>
    <row r="675">
      <c r="A675" s="125"/>
    </row>
    <row r="676">
      <c r="A676" s="125"/>
    </row>
    <row r="677">
      <c r="A677" s="125"/>
    </row>
    <row r="678">
      <c r="A678" s="125"/>
    </row>
    <row r="679">
      <c r="A679" s="125"/>
    </row>
    <row r="680">
      <c r="A680" s="125"/>
    </row>
    <row r="681">
      <c r="A681" s="125"/>
    </row>
    <row r="682">
      <c r="A682" s="125"/>
    </row>
    <row r="683">
      <c r="A683" s="125"/>
    </row>
    <row r="684">
      <c r="A684" s="125"/>
    </row>
    <row r="685">
      <c r="A685" s="125"/>
    </row>
    <row r="686">
      <c r="A686" s="125"/>
    </row>
    <row r="687">
      <c r="A687" s="125"/>
    </row>
    <row r="688">
      <c r="A688" s="125"/>
    </row>
    <row r="689">
      <c r="A689" s="125"/>
    </row>
    <row r="690">
      <c r="A690" s="125"/>
    </row>
    <row r="691">
      <c r="A691" s="125"/>
    </row>
    <row r="692">
      <c r="A692" s="125"/>
    </row>
    <row r="693">
      <c r="A693" s="125"/>
    </row>
    <row r="694">
      <c r="A694" s="125"/>
    </row>
    <row r="695">
      <c r="A695" s="125"/>
    </row>
    <row r="696">
      <c r="A696" s="125"/>
    </row>
    <row r="697">
      <c r="A697" s="125"/>
    </row>
    <row r="698">
      <c r="A698" s="125"/>
    </row>
    <row r="699">
      <c r="A699" s="125"/>
    </row>
    <row r="700">
      <c r="A700" s="125"/>
    </row>
    <row r="701">
      <c r="A701" s="125"/>
    </row>
    <row r="702">
      <c r="A702" s="125"/>
    </row>
    <row r="703">
      <c r="A703" s="125"/>
    </row>
    <row r="704">
      <c r="A704" s="125"/>
    </row>
    <row r="705">
      <c r="A705" s="125"/>
    </row>
    <row r="706">
      <c r="A706" s="125"/>
    </row>
    <row r="707">
      <c r="A707" s="125"/>
    </row>
    <row r="708">
      <c r="A708" s="125"/>
    </row>
    <row r="709">
      <c r="A709" s="125"/>
    </row>
    <row r="710">
      <c r="A710" s="125"/>
    </row>
    <row r="711">
      <c r="A711" s="125"/>
    </row>
    <row r="712">
      <c r="A712" s="125"/>
    </row>
    <row r="713">
      <c r="A713" s="125"/>
    </row>
    <row r="714">
      <c r="A714" s="125"/>
    </row>
    <row r="715">
      <c r="A715" s="125"/>
    </row>
    <row r="716">
      <c r="A716" s="125"/>
    </row>
    <row r="717">
      <c r="A717" s="125"/>
    </row>
    <row r="718">
      <c r="A718" s="125"/>
    </row>
    <row r="719">
      <c r="A719" s="125"/>
    </row>
    <row r="720">
      <c r="A720" s="125"/>
    </row>
    <row r="721">
      <c r="A721" s="125"/>
    </row>
    <row r="722">
      <c r="A722" s="125"/>
    </row>
    <row r="723">
      <c r="A723" s="125"/>
    </row>
    <row r="724">
      <c r="A724" s="125"/>
    </row>
    <row r="725">
      <c r="A725" s="125"/>
    </row>
    <row r="726">
      <c r="A726" s="125"/>
    </row>
    <row r="727">
      <c r="A727" s="125"/>
    </row>
    <row r="728">
      <c r="A728" s="125"/>
    </row>
    <row r="729">
      <c r="A729" s="125"/>
    </row>
    <row r="730">
      <c r="A730" s="125"/>
    </row>
    <row r="731">
      <c r="A731" s="125"/>
    </row>
    <row r="732">
      <c r="A732" s="125"/>
    </row>
    <row r="733">
      <c r="A733" s="125"/>
    </row>
    <row r="734">
      <c r="A734" s="125"/>
    </row>
    <row r="735">
      <c r="A735" s="125"/>
    </row>
    <row r="736">
      <c r="A736" s="125"/>
    </row>
    <row r="737">
      <c r="A737" s="125"/>
    </row>
    <row r="738">
      <c r="A738" s="125"/>
    </row>
    <row r="739">
      <c r="A739" s="125"/>
    </row>
    <row r="740">
      <c r="A740" s="125"/>
    </row>
    <row r="741">
      <c r="A741" s="125"/>
    </row>
    <row r="742">
      <c r="A742" s="125"/>
    </row>
    <row r="743">
      <c r="A743" s="125"/>
    </row>
    <row r="744">
      <c r="A744" s="125"/>
    </row>
    <row r="745">
      <c r="A745" s="125"/>
    </row>
    <row r="746">
      <c r="A746" s="125"/>
    </row>
    <row r="747">
      <c r="A747" s="125"/>
    </row>
    <row r="748">
      <c r="A748" s="125"/>
    </row>
    <row r="749">
      <c r="A749" s="125"/>
    </row>
    <row r="750">
      <c r="A750" s="125"/>
    </row>
    <row r="751">
      <c r="A751" s="125"/>
    </row>
    <row r="752">
      <c r="A752" s="125"/>
    </row>
    <row r="753">
      <c r="A753" s="125"/>
    </row>
    <row r="754">
      <c r="A754" s="125"/>
    </row>
    <row r="755">
      <c r="A755" s="125"/>
    </row>
    <row r="756">
      <c r="A756" s="125"/>
    </row>
    <row r="757">
      <c r="A757" s="125"/>
    </row>
    <row r="758">
      <c r="A758" s="125"/>
    </row>
    <row r="759">
      <c r="A759" s="125"/>
    </row>
    <row r="760">
      <c r="A760" s="125"/>
    </row>
    <row r="761">
      <c r="A761" s="125"/>
    </row>
    <row r="762">
      <c r="A762" s="125"/>
    </row>
    <row r="763">
      <c r="A763" s="125"/>
    </row>
    <row r="764">
      <c r="A764" s="125"/>
    </row>
    <row r="765">
      <c r="A765" s="125"/>
    </row>
    <row r="766">
      <c r="A766" s="125"/>
    </row>
    <row r="767">
      <c r="A767" s="125"/>
    </row>
    <row r="768">
      <c r="A768" s="125"/>
    </row>
    <row r="769">
      <c r="A769" s="125"/>
    </row>
    <row r="770">
      <c r="A770" s="125"/>
    </row>
    <row r="771">
      <c r="A771" s="125"/>
    </row>
    <row r="772">
      <c r="A772" s="125"/>
    </row>
    <row r="773">
      <c r="A773" s="125"/>
    </row>
    <row r="774">
      <c r="A774" s="125"/>
    </row>
    <row r="775">
      <c r="A775" s="125"/>
    </row>
    <row r="776">
      <c r="A776" s="125"/>
    </row>
    <row r="777">
      <c r="A777" s="125"/>
    </row>
    <row r="778">
      <c r="A778" s="125"/>
    </row>
    <row r="779">
      <c r="A779" s="125"/>
    </row>
    <row r="780">
      <c r="A780" s="125"/>
    </row>
    <row r="781">
      <c r="A781" s="125"/>
    </row>
    <row r="782">
      <c r="A782" s="125"/>
    </row>
    <row r="783">
      <c r="A783" s="125"/>
    </row>
    <row r="784">
      <c r="A784" s="125"/>
    </row>
    <row r="785">
      <c r="A785" s="125"/>
    </row>
    <row r="786">
      <c r="A786" s="125"/>
    </row>
    <row r="787">
      <c r="A787" s="125"/>
    </row>
    <row r="788">
      <c r="A788" s="125"/>
    </row>
    <row r="789">
      <c r="A789" s="125"/>
    </row>
    <row r="790">
      <c r="A790" s="125"/>
    </row>
    <row r="791">
      <c r="A791" s="125"/>
    </row>
    <row r="792">
      <c r="A792" s="125"/>
    </row>
    <row r="793">
      <c r="A793" s="125"/>
    </row>
    <row r="794">
      <c r="A794" s="125"/>
    </row>
    <row r="795">
      <c r="A795" s="125"/>
    </row>
    <row r="796">
      <c r="A796" s="125"/>
    </row>
    <row r="797">
      <c r="A797" s="125"/>
    </row>
    <row r="798">
      <c r="A798" s="125"/>
    </row>
    <row r="799">
      <c r="A799" s="125"/>
    </row>
    <row r="800">
      <c r="A800" s="125"/>
    </row>
    <row r="801">
      <c r="A801" s="125"/>
    </row>
    <row r="802">
      <c r="A802" s="125"/>
    </row>
    <row r="803">
      <c r="A803" s="125"/>
    </row>
    <row r="804">
      <c r="A804" s="125"/>
    </row>
    <row r="805">
      <c r="A805" s="125"/>
    </row>
    <row r="806">
      <c r="A806" s="125"/>
    </row>
    <row r="807">
      <c r="A807" s="125"/>
    </row>
    <row r="808">
      <c r="A808" s="125"/>
    </row>
    <row r="809">
      <c r="A809" s="125"/>
    </row>
    <row r="810">
      <c r="A810" s="125"/>
    </row>
    <row r="811">
      <c r="A811" s="125"/>
    </row>
    <row r="812">
      <c r="A812" s="125"/>
    </row>
    <row r="813">
      <c r="A813" s="125"/>
    </row>
    <row r="814">
      <c r="A814" s="125"/>
    </row>
    <row r="815">
      <c r="A815" s="125"/>
    </row>
    <row r="816">
      <c r="A816" s="125"/>
    </row>
    <row r="817">
      <c r="A817" s="125"/>
    </row>
    <row r="818">
      <c r="A818" s="125"/>
    </row>
    <row r="819">
      <c r="A819" s="125"/>
    </row>
    <row r="820">
      <c r="A820" s="125"/>
    </row>
    <row r="821">
      <c r="A821" s="125"/>
    </row>
    <row r="822">
      <c r="A822" s="125"/>
    </row>
    <row r="823">
      <c r="A823" s="125"/>
    </row>
    <row r="824">
      <c r="A824" s="125"/>
    </row>
    <row r="825">
      <c r="A825" s="125"/>
    </row>
    <row r="826">
      <c r="A826" s="125"/>
    </row>
    <row r="827">
      <c r="A827" s="125"/>
    </row>
    <row r="828">
      <c r="A828" s="125"/>
    </row>
    <row r="829">
      <c r="A829" s="125"/>
    </row>
    <row r="830">
      <c r="A830" s="125"/>
    </row>
    <row r="831">
      <c r="A831" s="125"/>
    </row>
    <row r="832">
      <c r="A832" s="125"/>
    </row>
    <row r="833">
      <c r="A833" s="125"/>
    </row>
    <row r="834">
      <c r="A834" s="125"/>
    </row>
    <row r="835">
      <c r="A835" s="125"/>
    </row>
    <row r="836">
      <c r="A836" s="125"/>
    </row>
    <row r="837">
      <c r="A837" s="125"/>
    </row>
    <row r="838">
      <c r="A838" s="125"/>
    </row>
    <row r="839">
      <c r="A839" s="125"/>
    </row>
    <row r="840">
      <c r="A840" s="125"/>
    </row>
    <row r="841">
      <c r="A841" s="125"/>
    </row>
    <row r="842">
      <c r="A842" s="125"/>
    </row>
    <row r="843">
      <c r="A843" s="125"/>
    </row>
    <row r="844">
      <c r="A844" s="125"/>
    </row>
    <row r="845">
      <c r="A845" s="125"/>
    </row>
    <row r="846">
      <c r="A846" s="125"/>
    </row>
    <row r="847">
      <c r="A847" s="125"/>
    </row>
    <row r="848">
      <c r="A848" s="125"/>
    </row>
    <row r="849">
      <c r="A849" s="125"/>
    </row>
    <row r="850">
      <c r="A850" s="125"/>
    </row>
    <row r="851">
      <c r="A851" s="125"/>
    </row>
    <row r="852">
      <c r="A852" s="125"/>
    </row>
    <row r="853">
      <c r="A853" s="125"/>
    </row>
    <row r="854">
      <c r="A854" s="125"/>
    </row>
    <row r="855">
      <c r="A855" s="125"/>
    </row>
    <row r="856">
      <c r="A856" s="125"/>
    </row>
    <row r="857">
      <c r="A857" s="125"/>
    </row>
    <row r="858">
      <c r="A858" s="125"/>
    </row>
    <row r="859">
      <c r="A859" s="125"/>
    </row>
    <row r="860">
      <c r="A860" s="125"/>
    </row>
    <row r="861">
      <c r="A861" s="125"/>
    </row>
    <row r="862">
      <c r="A862" s="125"/>
    </row>
    <row r="863">
      <c r="A863" s="125"/>
    </row>
    <row r="864">
      <c r="A864" s="125"/>
    </row>
    <row r="865">
      <c r="A865" s="125"/>
    </row>
    <row r="866">
      <c r="A866" s="125"/>
    </row>
    <row r="867">
      <c r="A867" s="125"/>
    </row>
    <row r="868">
      <c r="A868" s="125"/>
    </row>
    <row r="869">
      <c r="A869" s="125"/>
    </row>
    <row r="870">
      <c r="A870" s="125"/>
    </row>
    <row r="871">
      <c r="A871" s="125"/>
    </row>
    <row r="872">
      <c r="A872" s="125"/>
    </row>
    <row r="873">
      <c r="A873" s="125"/>
    </row>
    <row r="874">
      <c r="A874" s="125"/>
    </row>
    <row r="875">
      <c r="A875" s="125"/>
    </row>
    <row r="876">
      <c r="A876" s="125"/>
    </row>
    <row r="877">
      <c r="A877" s="125"/>
    </row>
    <row r="878">
      <c r="A878" s="125"/>
    </row>
    <row r="879">
      <c r="A879" s="125"/>
    </row>
    <row r="880">
      <c r="A880" s="125"/>
    </row>
    <row r="881">
      <c r="A881" s="125"/>
    </row>
    <row r="882">
      <c r="A882" s="125"/>
    </row>
    <row r="883">
      <c r="A883" s="125"/>
    </row>
    <row r="884">
      <c r="A884" s="125"/>
    </row>
    <row r="885">
      <c r="A885" s="125"/>
    </row>
    <row r="886">
      <c r="A886" s="125"/>
    </row>
    <row r="887">
      <c r="A887" s="125"/>
    </row>
    <row r="888">
      <c r="A888" s="125"/>
    </row>
    <row r="889">
      <c r="A889" s="125"/>
    </row>
    <row r="890">
      <c r="A890" s="125"/>
    </row>
    <row r="891">
      <c r="A891" s="125"/>
    </row>
    <row r="892">
      <c r="A892" s="125"/>
    </row>
    <row r="893">
      <c r="A893" s="125"/>
    </row>
    <row r="894">
      <c r="A894" s="125"/>
    </row>
    <row r="895">
      <c r="A895" s="125"/>
    </row>
    <row r="896">
      <c r="A896" s="125"/>
    </row>
    <row r="897">
      <c r="A897" s="125"/>
    </row>
    <row r="898">
      <c r="A898" s="125"/>
    </row>
    <row r="899">
      <c r="A899" s="125"/>
    </row>
    <row r="900">
      <c r="A900" s="125"/>
    </row>
    <row r="901">
      <c r="A901" s="125"/>
    </row>
    <row r="902">
      <c r="A902" s="125"/>
    </row>
    <row r="903">
      <c r="A903" s="125"/>
    </row>
    <row r="904">
      <c r="A904" s="125"/>
    </row>
    <row r="905">
      <c r="A905" s="125"/>
    </row>
    <row r="906">
      <c r="A906" s="125"/>
    </row>
    <row r="907">
      <c r="A907" s="125"/>
    </row>
    <row r="908">
      <c r="A908" s="125"/>
    </row>
    <row r="909">
      <c r="A909" s="125"/>
    </row>
    <row r="910">
      <c r="A910" s="125"/>
    </row>
    <row r="911">
      <c r="A911" s="125"/>
    </row>
    <row r="912">
      <c r="A912" s="125"/>
    </row>
    <row r="913">
      <c r="A913" s="125"/>
    </row>
    <row r="914">
      <c r="A914" s="125"/>
    </row>
    <row r="915">
      <c r="A915" s="125"/>
    </row>
    <row r="916">
      <c r="A916" s="125"/>
    </row>
    <row r="917">
      <c r="A917" s="125"/>
    </row>
    <row r="918">
      <c r="A918" s="125"/>
    </row>
    <row r="919">
      <c r="A919" s="125"/>
    </row>
    <row r="920">
      <c r="A920" s="125"/>
    </row>
    <row r="921">
      <c r="A921" s="125"/>
    </row>
    <row r="922">
      <c r="A922" s="125"/>
    </row>
    <row r="923">
      <c r="A923" s="125"/>
    </row>
    <row r="924">
      <c r="A924" s="125"/>
    </row>
    <row r="925">
      <c r="A925" s="125"/>
    </row>
    <row r="926">
      <c r="A926" s="125"/>
    </row>
    <row r="927">
      <c r="A927" s="125"/>
    </row>
    <row r="928">
      <c r="A928" s="125"/>
    </row>
    <row r="929">
      <c r="A929" s="125"/>
    </row>
    <row r="930">
      <c r="A930" s="125"/>
    </row>
    <row r="931">
      <c r="A931" s="125"/>
    </row>
    <row r="932">
      <c r="A932" s="125"/>
    </row>
    <row r="933">
      <c r="A933" s="125"/>
    </row>
    <row r="934">
      <c r="A934" s="125"/>
    </row>
    <row r="935">
      <c r="A935" s="125"/>
    </row>
    <row r="936">
      <c r="A936" s="125"/>
    </row>
    <row r="937">
      <c r="A937" s="125"/>
    </row>
    <row r="938">
      <c r="A938" s="125"/>
    </row>
    <row r="939">
      <c r="A939" s="125"/>
    </row>
    <row r="940">
      <c r="A940" s="125"/>
    </row>
    <row r="941">
      <c r="A941" s="125"/>
    </row>
    <row r="942">
      <c r="A942" s="125"/>
    </row>
    <row r="943">
      <c r="A943" s="125"/>
    </row>
    <row r="944">
      <c r="A944" s="125"/>
    </row>
    <row r="945">
      <c r="A945" s="125"/>
    </row>
    <row r="946">
      <c r="A946" s="125"/>
    </row>
    <row r="947">
      <c r="A947" s="125"/>
    </row>
    <row r="948">
      <c r="A948" s="125"/>
    </row>
    <row r="949">
      <c r="A949" s="125"/>
    </row>
    <row r="950">
      <c r="A950" s="125"/>
    </row>
    <row r="951">
      <c r="A951" s="125"/>
    </row>
    <row r="952">
      <c r="A952" s="125"/>
    </row>
    <row r="953">
      <c r="A953" s="125"/>
    </row>
    <row r="954">
      <c r="A954" s="125"/>
    </row>
    <row r="955">
      <c r="A955" s="125"/>
    </row>
    <row r="956">
      <c r="A956" s="125"/>
    </row>
    <row r="957">
      <c r="A957" s="125"/>
    </row>
    <row r="958">
      <c r="A958" s="125"/>
    </row>
    <row r="959">
      <c r="A959" s="125"/>
    </row>
    <row r="960">
      <c r="A960" s="125"/>
    </row>
    <row r="961">
      <c r="A961" s="125"/>
    </row>
    <row r="962">
      <c r="A962" s="125"/>
    </row>
    <row r="963">
      <c r="A963" s="125"/>
    </row>
    <row r="964">
      <c r="A964" s="125"/>
    </row>
    <row r="965">
      <c r="A965" s="125"/>
    </row>
    <row r="966">
      <c r="A966" s="125"/>
    </row>
    <row r="967">
      <c r="A967" s="125"/>
    </row>
    <row r="968">
      <c r="A968" s="125"/>
    </row>
    <row r="969">
      <c r="A969" s="125"/>
    </row>
    <row r="970">
      <c r="A970" s="125"/>
    </row>
    <row r="971">
      <c r="A971" s="125"/>
    </row>
    <row r="972">
      <c r="A972" s="125"/>
    </row>
    <row r="973">
      <c r="A973" s="125"/>
    </row>
    <row r="974">
      <c r="A974" s="125"/>
    </row>
    <row r="975">
      <c r="A975" s="125"/>
    </row>
    <row r="976">
      <c r="A976" s="125"/>
    </row>
    <row r="977">
      <c r="A977" s="125"/>
    </row>
    <row r="978">
      <c r="A978" s="125"/>
    </row>
    <row r="979">
      <c r="A979" s="125"/>
    </row>
    <row r="980">
      <c r="A980" s="125"/>
    </row>
    <row r="981">
      <c r="A981" s="125"/>
    </row>
    <row r="982">
      <c r="A982" s="125"/>
    </row>
    <row r="983">
      <c r="A983" s="125"/>
    </row>
    <row r="984">
      <c r="A984" s="125"/>
    </row>
    <row r="985">
      <c r="A985" s="125"/>
    </row>
    <row r="986">
      <c r="A986" s="125"/>
    </row>
    <row r="987">
      <c r="A987" s="125"/>
    </row>
    <row r="988">
      <c r="A988" s="125"/>
    </row>
    <row r="989">
      <c r="A989" s="125"/>
    </row>
    <row r="990">
      <c r="A990" s="125"/>
    </row>
    <row r="991">
      <c r="A991" s="125"/>
    </row>
    <row r="992">
      <c r="A992" s="125"/>
    </row>
    <row r="993">
      <c r="A993" s="125"/>
    </row>
    <row r="994">
      <c r="A994" s="125"/>
    </row>
    <row r="995">
      <c r="A995" s="125"/>
    </row>
    <row r="996">
      <c r="A996" s="125"/>
    </row>
    <row r="997">
      <c r="A997" s="125"/>
    </row>
    <row r="998">
      <c r="A998" s="125"/>
    </row>
    <row r="999">
      <c r="A999" s="125"/>
    </row>
    <row r="1000">
      <c r="A1000" s="12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9.57"/>
    <col customWidth="1" min="5" max="5" width="19.0"/>
  </cols>
  <sheetData>
    <row r="1">
      <c r="A1" s="99" t="s">
        <v>306</v>
      </c>
      <c r="B1" s="164" t="s">
        <v>307</v>
      </c>
      <c r="C1" s="101" t="s">
        <v>308</v>
      </c>
      <c r="D1" s="165" t="s">
        <v>5</v>
      </c>
      <c r="E1" s="101" t="s">
        <v>309</v>
      </c>
    </row>
    <row r="2">
      <c r="A2" s="111" t="s">
        <v>311</v>
      </c>
      <c r="B2" s="168">
        <v>20000.0</v>
      </c>
      <c r="D2" s="170"/>
      <c r="E2" s="22" t="s">
        <v>313</v>
      </c>
    </row>
    <row r="3">
      <c r="A3" s="111" t="s">
        <v>311</v>
      </c>
      <c r="B3" s="168">
        <v>40000.0</v>
      </c>
      <c r="C3" s="22"/>
      <c r="D3" s="171"/>
      <c r="E3" s="22" t="s">
        <v>314</v>
      </c>
    </row>
    <row r="4">
      <c r="A4" s="172">
        <v>46030.0</v>
      </c>
      <c r="B4" s="174"/>
      <c r="C4" s="22" t="s">
        <v>147</v>
      </c>
      <c r="D4" s="171">
        <v>12000.0</v>
      </c>
    </row>
    <row r="5">
      <c r="A5" s="172">
        <v>46089.0</v>
      </c>
      <c r="B5" s="174"/>
      <c r="C5" s="22" t="s">
        <v>315</v>
      </c>
      <c r="D5" s="165">
        <v>4650.0</v>
      </c>
    </row>
    <row r="6">
      <c r="A6" s="172">
        <v>46030.0</v>
      </c>
      <c r="B6" s="174"/>
      <c r="C6" s="22" t="s">
        <v>316</v>
      </c>
      <c r="D6" s="165">
        <v>1150.0</v>
      </c>
    </row>
    <row r="7">
      <c r="A7" s="172">
        <v>46030.0</v>
      </c>
      <c r="B7" s="174"/>
      <c r="C7" s="22" t="s">
        <v>317</v>
      </c>
      <c r="D7" s="165">
        <v>850.0</v>
      </c>
    </row>
    <row r="8">
      <c r="A8" s="172">
        <v>46030.0</v>
      </c>
      <c r="B8" s="174"/>
      <c r="C8" s="22" t="s">
        <v>318</v>
      </c>
      <c r="D8" s="165">
        <v>3000.0</v>
      </c>
      <c r="E8" s="22" t="s">
        <v>319</v>
      </c>
    </row>
    <row r="9">
      <c r="A9" s="172">
        <v>46061.0</v>
      </c>
      <c r="B9" s="174"/>
      <c r="C9" s="22" t="s">
        <v>320</v>
      </c>
      <c r="D9" s="165">
        <v>300.0</v>
      </c>
      <c r="E9" s="22" t="s">
        <v>321</v>
      </c>
    </row>
    <row r="10">
      <c r="A10" s="125"/>
      <c r="B10" s="174"/>
      <c r="D10" s="170"/>
    </row>
    <row r="11">
      <c r="A11" s="125"/>
      <c r="B11" s="174"/>
      <c r="D11" s="170"/>
    </row>
    <row r="12">
      <c r="A12" s="125"/>
      <c r="B12" s="174"/>
      <c r="D12" s="170"/>
    </row>
    <row r="13">
      <c r="A13" s="125"/>
      <c r="B13" s="174"/>
      <c r="D13" s="170"/>
    </row>
    <row r="14">
      <c r="A14" s="125"/>
      <c r="B14" s="174"/>
      <c r="D14" s="170"/>
    </row>
    <row r="15">
      <c r="A15" s="125"/>
      <c r="B15" s="174"/>
      <c r="D15" s="170"/>
    </row>
    <row r="16">
      <c r="A16" s="125"/>
      <c r="B16" s="174"/>
      <c r="D16" s="170"/>
    </row>
    <row r="17">
      <c r="A17" s="125"/>
      <c r="B17" s="174"/>
      <c r="D17" s="170"/>
    </row>
    <row r="18">
      <c r="A18" s="125"/>
      <c r="B18" s="174"/>
      <c r="D18" s="170"/>
    </row>
    <row r="19">
      <c r="A19" s="125"/>
      <c r="B19" s="174"/>
      <c r="D19" s="170"/>
    </row>
    <row r="20">
      <c r="A20" s="125"/>
      <c r="B20" s="174"/>
      <c r="D20" s="170"/>
    </row>
    <row r="21">
      <c r="A21" s="125"/>
      <c r="B21" s="174"/>
      <c r="D21" s="170"/>
    </row>
    <row r="22">
      <c r="A22" s="125"/>
      <c r="B22" s="174"/>
      <c r="D22" s="170"/>
    </row>
    <row r="23">
      <c r="A23" s="125"/>
      <c r="B23" s="174"/>
      <c r="D23" s="170"/>
    </row>
    <row r="24">
      <c r="A24" s="125"/>
      <c r="B24" s="174"/>
      <c r="D24" s="170"/>
    </row>
    <row r="25">
      <c r="A25" s="125"/>
      <c r="B25" s="174"/>
      <c r="D25" s="170"/>
    </row>
    <row r="26">
      <c r="A26" s="125"/>
      <c r="B26" s="174"/>
      <c r="D26" s="170"/>
    </row>
    <row r="27">
      <c r="A27" s="125"/>
      <c r="B27" s="174"/>
      <c r="D27" s="170"/>
    </row>
    <row r="28">
      <c r="A28" s="125"/>
      <c r="B28" s="174"/>
      <c r="D28" s="170"/>
    </row>
    <row r="29">
      <c r="A29" s="125"/>
      <c r="B29" s="174"/>
      <c r="D29" s="170"/>
    </row>
    <row r="30">
      <c r="A30" s="125"/>
      <c r="B30" s="174"/>
      <c r="D30" s="170"/>
    </row>
    <row r="31">
      <c r="A31" s="125"/>
      <c r="B31" s="174"/>
      <c r="D31" s="170"/>
    </row>
    <row r="32">
      <c r="A32" s="125"/>
      <c r="B32" s="174"/>
      <c r="D32" s="170"/>
    </row>
    <row r="33">
      <c r="A33" s="125"/>
      <c r="B33" s="174"/>
      <c r="D33" s="170"/>
    </row>
    <row r="34">
      <c r="A34" s="125"/>
      <c r="B34" s="174"/>
      <c r="D34" s="170"/>
    </row>
    <row r="35">
      <c r="A35" s="125"/>
      <c r="B35" s="174"/>
      <c r="D35" s="170"/>
    </row>
    <row r="36">
      <c r="A36" s="125"/>
      <c r="B36" s="174"/>
      <c r="D36" s="170"/>
    </row>
    <row r="37">
      <c r="A37" s="125"/>
      <c r="B37" s="174"/>
      <c r="D37" s="170"/>
    </row>
    <row r="38">
      <c r="A38" s="125"/>
      <c r="B38" s="174"/>
      <c r="D38" s="170"/>
    </row>
    <row r="39">
      <c r="A39" s="125"/>
      <c r="B39" s="174"/>
      <c r="D39" s="170"/>
    </row>
    <row r="40">
      <c r="A40" s="125"/>
      <c r="B40" s="174"/>
      <c r="D40" s="170"/>
    </row>
    <row r="41">
      <c r="A41" s="125"/>
      <c r="B41" s="174"/>
      <c r="D41" s="170"/>
    </row>
    <row r="42">
      <c r="A42" s="125"/>
      <c r="B42" s="174"/>
      <c r="D42" s="170"/>
    </row>
    <row r="43">
      <c r="A43" s="125"/>
      <c r="B43" s="174"/>
      <c r="D43" s="170"/>
    </row>
    <row r="44">
      <c r="A44" s="125"/>
      <c r="B44" s="174"/>
      <c r="D44" s="170"/>
    </row>
    <row r="45">
      <c r="A45" s="125"/>
      <c r="B45" s="174"/>
      <c r="D45" s="170"/>
    </row>
    <row r="46">
      <c r="A46" s="125"/>
      <c r="B46" s="174"/>
      <c r="D46" s="170"/>
    </row>
    <row r="47">
      <c r="A47" s="125"/>
      <c r="B47" s="174"/>
      <c r="D47" s="170"/>
    </row>
    <row r="48">
      <c r="A48" s="125"/>
      <c r="B48" s="174"/>
      <c r="D48" s="170"/>
    </row>
    <row r="49">
      <c r="A49" s="125"/>
      <c r="B49" s="174"/>
      <c r="D49" s="170"/>
    </row>
    <row r="50">
      <c r="A50" s="125"/>
      <c r="B50" s="174"/>
      <c r="D50" s="170"/>
    </row>
    <row r="51">
      <c r="A51" s="125"/>
      <c r="B51" s="174"/>
      <c r="D51" s="170"/>
    </row>
    <row r="52">
      <c r="A52" s="125"/>
      <c r="B52" s="174"/>
      <c r="D52" s="170"/>
    </row>
    <row r="53">
      <c r="A53" s="125"/>
      <c r="B53" s="174"/>
      <c r="D53" s="170"/>
    </row>
    <row r="54">
      <c r="A54" s="125"/>
      <c r="B54" s="174"/>
      <c r="D54" s="170"/>
    </row>
    <row r="55">
      <c r="A55" s="125"/>
      <c r="B55" s="174"/>
      <c r="D55" s="170"/>
    </row>
    <row r="56">
      <c r="A56" s="125"/>
      <c r="B56" s="174"/>
      <c r="D56" s="170"/>
    </row>
    <row r="57">
      <c r="A57" s="125"/>
      <c r="B57" s="174"/>
      <c r="D57" s="170"/>
    </row>
    <row r="58">
      <c r="A58" s="125"/>
      <c r="B58" s="174"/>
      <c r="D58" s="170"/>
    </row>
    <row r="59">
      <c r="A59" s="125"/>
      <c r="B59" s="174"/>
      <c r="D59" s="170"/>
    </row>
    <row r="60">
      <c r="A60" s="125"/>
      <c r="B60" s="174"/>
      <c r="D60" s="170"/>
    </row>
    <row r="61">
      <c r="A61" s="125"/>
      <c r="B61" s="174"/>
      <c r="D61" s="170"/>
    </row>
    <row r="62">
      <c r="A62" s="125"/>
      <c r="B62" s="174"/>
      <c r="D62" s="170"/>
    </row>
    <row r="63">
      <c r="A63" s="125"/>
      <c r="B63" s="174"/>
      <c r="D63" s="170"/>
    </row>
    <row r="64">
      <c r="A64" s="125"/>
      <c r="B64" s="174"/>
      <c r="D64" s="170"/>
    </row>
    <row r="65">
      <c r="A65" s="125"/>
      <c r="B65" s="174"/>
      <c r="D65" s="170"/>
    </row>
    <row r="66">
      <c r="A66" s="125"/>
      <c r="B66" s="174"/>
      <c r="D66" s="170"/>
    </row>
    <row r="67">
      <c r="A67" s="125"/>
      <c r="B67" s="174"/>
      <c r="D67" s="170"/>
    </row>
    <row r="68">
      <c r="A68" s="125"/>
      <c r="B68" s="174"/>
      <c r="D68" s="170"/>
    </row>
    <row r="69">
      <c r="A69" s="125"/>
      <c r="B69" s="174"/>
      <c r="D69" s="170"/>
    </row>
    <row r="70">
      <c r="A70" s="125"/>
      <c r="B70" s="174"/>
      <c r="D70" s="170"/>
    </row>
    <row r="71">
      <c r="A71" s="125"/>
      <c r="B71" s="174"/>
      <c r="D71" s="170"/>
    </row>
    <row r="72">
      <c r="A72" s="125"/>
      <c r="B72" s="174"/>
      <c r="D72" s="170"/>
    </row>
    <row r="73">
      <c r="A73" s="125"/>
      <c r="B73" s="174"/>
      <c r="D73" s="170"/>
    </row>
    <row r="74">
      <c r="A74" s="125"/>
      <c r="B74" s="174"/>
      <c r="D74" s="170"/>
    </row>
    <row r="75">
      <c r="A75" s="125"/>
      <c r="B75" s="174"/>
      <c r="D75" s="170"/>
    </row>
    <row r="76">
      <c r="A76" s="125"/>
      <c r="B76" s="174"/>
      <c r="D76" s="170"/>
    </row>
    <row r="77">
      <c r="A77" s="125"/>
      <c r="B77" s="174"/>
      <c r="D77" s="170"/>
    </row>
    <row r="78">
      <c r="A78" s="125"/>
      <c r="B78" s="174"/>
      <c r="D78" s="170"/>
    </row>
    <row r="79">
      <c r="A79" s="125"/>
      <c r="B79" s="174"/>
      <c r="D79" s="170"/>
    </row>
    <row r="80">
      <c r="A80" s="125"/>
      <c r="B80" s="174"/>
      <c r="D80" s="170"/>
    </row>
    <row r="81">
      <c r="A81" s="125"/>
      <c r="B81" s="174"/>
      <c r="D81" s="170"/>
    </row>
    <row r="82">
      <c r="A82" s="125"/>
      <c r="B82" s="174"/>
      <c r="D82" s="170"/>
    </row>
    <row r="83">
      <c r="A83" s="125"/>
      <c r="B83" s="174"/>
      <c r="D83" s="170"/>
    </row>
    <row r="84">
      <c r="A84" s="125"/>
      <c r="B84" s="174"/>
      <c r="D84" s="170"/>
    </row>
    <row r="85">
      <c r="A85" s="125"/>
      <c r="B85" s="174"/>
      <c r="D85" s="170"/>
    </row>
    <row r="86">
      <c r="A86" s="125"/>
      <c r="B86" s="174"/>
      <c r="D86" s="170"/>
    </row>
    <row r="87">
      <c r="A87" s="125"/>
      <c r="B87" s="174"/>
      <c r="D87" s="170"/>
    </row>
    <row r="88">
      <c r="A88" s="125"/>
      <c r="B88" s="174"/>
      <c r="D88" s="170"/>
    </row>
    <row r="89">
      <c r="A89" s="125"/>
      <c r="B89" s="174"/>
      <c r="D89" s="170"/>
    </row>
    <row r="90">
      <c r="A90" s="125"/>
      <c r="B90" s="174"/>
      <c r="D90" s="170"/>
    </row>
    <row r="91">
      <c r="A91" s="125"/>
      <c r="B91" s="174"/>
      <c r="D91" s="170"/>
    </row>
    <row r="92">
      <c r="A92" s="125"/>
      <c r="B92" s="174"/>
      <c r="D92" s="170"/>
    </row>
    <row r="93">
      <c r="A93" s="125"/>
      <c r="B93" s="174"/>
      <c r="D93" s="170"/>
    </row>
    <row r="94">
      <c r="A94" s="125"/>
      <c r="B94" s="174"/>
      <c r="D94" s="170"/>
    </row>
    <row r="95">
      <c r="A95" s="125"/>
      <c r="B95" s="174"/>
      <c r="D95" s="170"/>
    </row>
    <row r="96">
      <c r="A96" s="125"/>
      <c r="B96" s="174"/>
      <c r="D96" s="170"/>
    </row>
    <row r="97">
      <c r="A97" s="125"/>
      <c r="B97" s="174"/>
      <c r="D97" s="170"/>
    </row>
    <row r="98">
      <c r="A98" s="125"/>
      <c r="B98" s="174"/>
      <c r="D98" s="170"/>
    </row>
    <row r="99">
      <c r="A99" s="125"/>
      <c r="B99" s="174"/>
      <c r="D99" s="170"/>
    </row>
    <row r="100">
      <c r="A100" s="125"/>
      <c r="B100" s="174"/>
      <c r="D100" s="170"/>
    </row>
    <row r="101">
      <c r="A101" s="125"/>
      <c r="B101" s="174"/>
      <c r="D101" s="170"/>
    </row>
    <row r="102">
      <c r="A102" s="125"/>
      <c r="B102" s="174"/>
      <c r="D102" s="170"/>
    </row>
    <row r="103">
      <c r="A103" s="125"/>
      <c r="B103" s="174"/>
      <c r="D103" s="170"/>
    </row>
    <row r="104">
      <c r="A104" s="125"/>
      <c r="B104" s="174"/>
      <c r="D104" s="170"/>
    </row>
    <row r="105">
      <c r="A105" s="125"/>
      <c r="B105" s="174"/>
      <c r="D105" s="170"/>
    </row>
    <row r="106">
      <c r="A106" s="125"/>
      <c r="B106" s="174"/>
      <c r="D106" s="170"/>
    </row>
    <row r="107">
      <c r="A107" s="125"/>
      <c r="B107" s="174"/>
      <c r="D107" s="170"/>
    </row>
    <row r="108">
      <c r="A108" s="125"/>
      <c r="B108" s="174"/>
      <c r="D108" s="170"/>
    </row>
    <row r="109">
      <c r="A109" s="125"/>
      <c r="B109" s="174"/>
      <c r="D109" s="170"/>
    </row>
    <row r="110">
      <c r="A110" s="125"/>
      <c r="B110" s="174"/>
      <c r="D110" s="170"/>
    </row>
    <row r="111">
      <c r="A111" s="125"/>
      <c r="B111" s="174"/>
      <c r="D111" s="170"/>
    </row>
    <row r="112">
      <c r="A112" s="125"/>
      <c r="B112" s="174"/>
      <c r="D112" s="170"/>
    </row>
    <row r="113">
      <c r="A113" s="125"/>
      <c r="B113" s="174"/>
      <c r="D113" s="170"/>
    </row>
    <row r="114">
      <c r="A114" s="125"/>
      <c r="B114" s="174"/>
      <c r="D114" s="170"/>
    </row>
    <row r="115">
      <c r="A115" s="125"/>
      <c r="B115" s="174"/>
      <c r="D115" s="170"/>
    </row>
    <row r="116">
      <c r="A116" s="125"/>
      <c r="B116" s="174"/>
      <c r="D116" s="170"/>
    </row>
    <row r="117">
      <c r="A117" s="125"/>
      <c r="B117" s="174"/>
      <c r="D117" s="170"/>
    </row>
    <row r="118">
      <c r="A118" s="125"/>
      <c r="B118" s="174"/>
      <c r="D118" s="170"/>
    </row>
    <row r="119">
      <c r="A119" s="125"/>
      <c r="B119" s="174"/>
      <c r="D119" s="170"/>
    </row>
    <row r="120">
      <c r="A120" s="125"/>
      <c r="B120" s="174"/>
      <c r="D120" s="170"/>
    </row>
    <row r="121">
      <c r="A121" s="125"/>
      <c r="B121" s="174"/>
      <c r="D121" s="170"/>
    </row>
    <row r="122">
      <c r="A122" s="125"/>
      <c r="B122" s="174"/>
      <c r="D122" s="170"/>
    </row>
    <row r="123">
      <c r="A123" s="125"/>
      <c r="B123" s="174"/>
      <c r="D123" s="170"/>
    </row>
    <row r="124">
      <c r="A124" s="125"/>
      <c r="B124" s="174"/>
      <c r="D124" s="170"/>
    </row>
    <row r="125">
      <c r="A125" s="125"/>
      <c r="B125" s="174"/>
      <c r="D125" s="170"/>
    </row>
    <row r="126">
      <c r="A126" s="125"/>
      <c r="B126" s="174"/>
      <c r="D126" s="170"/>
    </row>
    <row r="127">
      <c r="A127" s="125"/>
      <c r="B127" s="174"/>
      <c r="D127" s="170"/>
    </row>
    <row r="128">
      <c r="A128" s="125"/>
      <c r="B128" s="174"/>
      <c r="D128" s="170"/>
    </row>
    <row r="129">
      <c r="A129" s="125"/>
      <c r="B129" s="174"/>
      <c r="D129" s="170"/>
    </row>
    <row r="130">
      <c r="A130" s="125"/>
      <c r="B130" s="174"/>
      <c r="D130" s="170"/>
    </row>
    <row r="131">
      <c r="A131" s="125"/>
      <c r="B131" s="174"/>
      <c r="D131" s="170"/>
    </row>
    <row r="132">
      <c r="A132" s="125"/>
      <c r="B132" s="174"/>
      <c r="D132" s="170"/>
    </row>
    <row r="133">
      <c r="A133" s="125"/>
      <c r="B133" s="174"/>
      <c r="D133" s="170"/>
    </row>
    <row r="134">
      <c r="A134" s="125"/>
      <c r="B134" s="174"/>
      <c r="D134" s="170"/>
    </row>
    <row r="135">
      <c r="A135" s="125"/>
      <c r="B135" s="174"/>
      <c r="D135" s="170"/>
    </row>
    <row r="136">
      <c r="A136" s="125"/>
      <c r="B136" s="174"/>
      <c r="D136" s="170"/>
    </row>
    <row r="137">
      <c r="A137" s="125"/>
      <c r="B137" s="174"/>
      <c r="D137" s="170"/>
    </row>
    <row r="138">
      <c r="A138" s="125"/>
      <c r="B138" s="174"/>
      <c r="D138" s="170"/>
    </row>
    <row r="139">
      <c r="A139" s="125"/>
      <c r="B139" s="174"/>
      <c r="D139" s="170"/>
    </row>
    <row r="140">
      <c r="A140" s="125"/>
      <c r="B140" s="174"/>
      <c r="D140" s="170"/>
    </row>
    <row r="141">
      <c r="A141" s="125"/>
      <c r="B141" s="174"/>
      <c r="D141" s="170"/>
    </row>
    <row r="142">
      <c r="A142" s="125"/>
      <c r="B142" s="174"/>
      <c r="D142" s="170"/>
    </row>
    <row r="143">
      <c r="A143" s="125"/>
      <c r="B143" s="174"/>
      <c r="D143" s="170"/>
    </row>
    <row r="144">
      <c r="A144" s="125"/>
      <c r="B144" s="174"/>
      <c r="D144" s="170"/>
    </row>
    <row r="145">
      <c r="A145" s="125"/>
      <c r="B145" s="174"/>
      <c r="D145" s="170"/>
    </row>
    <row r="146">
      <c r="A146" s="125"/>
      <c r="B146" s="174"/>
      <c r="D146" s="170"/>
    </row>
    <row r="147">
      <c r="A147" s="125"/>
      <c r="B147" s="174"/>
      <c r="D147" s="170"/>
    </row>
    <row r="148">
      <c r="A148" s="125"/>
      <c r="B148" s="174"/>
      <c r="D148" s="170"/>
    </row>
    <row r="149">
      <c r="A149" s="125"/>
      <c r="B149" s="174"/>
      <c r="D149" s="170"/>
    </row>
    <row r="150">
      <c r="A150" s="125"/>
      <c r="B150" s="174"/>
      <c r="D150" s="170"/>
    </row>
    <row r="151">
      <c r="A151" s="125"/>
      <c r="B151" s="174"/>
      <c r="D151" s="170"/>
    </row>
    <row r="152">
      <c r="A152" s="125"/>
      <c r="B152" s="174"/>
      <c r="D152" s="170"/>
    </row>
    <row r="153">
      <c r="A153" s="125"/>
      <c r="B153" s="174"/>
      <c r="D153" s="170"/>
    </row>
    <row r="154">
      <c r="A154" s="125"/>
      <c r="B154" s="174"/>
      <c r="D154" s="170"/>
    </row>
    <row r="155">
      <c r="A155" s="125"/>
      <c r="B155" s="174"/>
      <c r="D155" s="170"/>
    </row>
    <row r="156">
      <c r="A156" s="125"/>
      <c r="B156" s="174"/>
      <c r="D156" s="170"/>
    </row>
    <row r="157">
      <c r="A157" s="125"/>
      <c r="B157" s="174"/>
      <c r="D157" s="170"/>
    </row>
    <row r="158">
      <c r="A158" s="125"/>
      <c r="B158" s="174"/>
      <c r="D158" s="170"/>
    </row>
    <row r="159">
      <c r="A159" s="125"/>
      <c r="B159" s="174"/>
      <c r="D159" s="170"/>
    </row>
    <row r="160">
      <c r="A160" s="125"/>
      <c r="B160" s="174"/>
      <c r="D160" s="170"/>
    </row>
    <row r="161">
      <c r="A161" s="125"/>
      <c r="B161" s="174"/>
      <c r="D161" s="170"/>
    </row>
    <row r="162">
      <c r="A162" s="125"/>
      <c r="B162" s="174"/>
      <c r="D162" s="170"/>
    </row>
    <row r="163">
      <c r="A163" s="125"/>
      <c r="B163" s="174"/>
      <c r="D163" s="170"/>
    </row>
    <row r="164">
      <c r="A164" s="125"/>
      <c r="B164" s="174"/>
      <c r="D164" s="170"/>
    </row>
    <row r="165">
      <c r="A165" s="125"/>
      <c r="B165" s="174"/>
      <c r="D165" s="170"/>
    </row>
    <row r="166">
      <c r="A166" s="125"/>
      <c r="B166" s="174"/>
      <c r="D166" s="170"/>
    </row>
    <row r="167">
      <c r="A167" s="125"/>
      <c r="B167" s="174"/>
      <c r="D167" s="170"/>
    </row>
    <row r="168">
      <c r="A168" s="125"/>
      <c r="B168" s="174"/>
      <c r="D168" s="170"/>
    </row>
    <row r="169">
      <c r="A169" s="125"/>
      <c r="B169" s="174"/>
      <c r="D169" s="170"/>
    </row>
    <row r="170">
      <c r="A170" s="125"/>
      <c r="B170" s="174"/>
      <c r="D170" s="170"/>
    </row>
    <row r="171">
      <c r="A171" s="125"/>
      <c r="B171" s="174"/>
      <c r="D171" s="170"/>
    </row>
    <row r="172">
      <c r="A172" s="125"/>
      <c r="B172" s="174"/>
      <c r="D172" s="170"/>
    </row>
    <row r="173">
      <c r="A173" s="125"/>
      <c r="B173" s="174"/>
      <c r="D173" s="170"/>
    </row>
    <row r="174">
      <c r="A174" s="125"/>
      <c r="B174" s="174"/>
      <c r="D174" s="170"/>
    </row>
    <row r="175">
      <c r="A175" s="125"/>
      <c r="B175" s="174"/>
      <c r="D175" s="170"/>
    </row>
    <row r="176">
      <c r="A176" s="125"/>
      <c r="B176" s="174"/>
      <c r="D176" s="170"/>
    </row>
    <row r="177">
      <c r="A177" s="125"/>
      <c r="B177" s="174"/>
      <c r="D177" s="170"/>
    </row>
    <row r="178">
      <c r="A178" s="125"/>
      <c r="B178" s="174"/>
      <c r="D178" s="170"/>
    </row>
    <row r="179">
      <c r="A179" s="125"/>
      <c r="B179" s="174"/>
      <c r="D179" s="170"/>
    </row>
    <row r="180">
      <c r="A180" s="125"/>
      <c r="B180" s="174"/>
      <c r="D180" s="170"/>
    </row>
    <row r="181">
      <c r="A181" s="125"/>
      <c r="B181" s="174"/>
      <c r="D181" s="170"/>
    </row>
    <row r="182">
      <c r="A182" s="125"/>
      <c r="B182" s="174"/>
      <c r="D182" s="170"/>
    </row>
    <row r="183">
      <c r="A183" s="125"/>
      <c r="B183" s="174"/>
      <c r="D183" s="170"/>
    </row>
    <row r="184">
      <c r="A184" s="125"/>
      <c r="B184" s="174"/>
      <c r="D184" s="170"/>
    </row>
    <row r="185">
      <c r="A185" s="125"/>
      <c r="B185" s="174"/>
      <c r="D185" s="170"/>
    </row>
    <row r="186">
      <c r="A186" s="125"/>
      <c r="B186" s="174"/>
      <c r="D186" s="170"/>
    </row>
    <row r="187">
      <c r="A187" s="125"/>
      <c r="B187" s="174"/>
      <c r="D187" s="170"/>
    </row>
    <row r="188">
      <c r="A188" s="125"/>
      <c r="B188" s="174"/>
      <c r="D188" s="170"/>
    </row>
    <row r="189">
      <c r="A189" s="125"/>
      <c r="B189" s="174"/>
      <c r="D189" s="170"/>
    </row>
    <row r="190">
      <c r="A190" s="125"/>
      <c r="B190" s="174"/>
      <c r="D190" s="170"/>
    </row>
    <row r="191">
      <c r="A191" s="125"/>
      <c r="B191" s="174"/>
      <c r="D191" s="170"/>
    </row>
    <row r="192">
      <c r="A192" s="125"/>
      <c r="B192" s="174"/>
      <c r="D192" s="170"/>
    </row>
    <row r="193">
      <c r="A193" s="125"/>
      <c r="B193" s="174"/>
      <c r="D193" s="170"/>
    </row>
    <row r="194">
      <c r="A194" s="125"/>
      <c r="B194" s="174"/>
      <c r="D194" s="170"/>
    </row>
    <row r="195">
      <c r="A195" s="125"/>
      <c r="B195" s="174"/>
      <c r="D195" s="170"/>
    </row>
    <row r="196">
      <c r="A196" s="125"/>
      <c r="B196" s="174"/>
      <c r="D196" s="170"/>
    </row>
    <row r="197">
      <c r="A197" s="125"/>
      <c r="B197" s="174"/>
      <c r="D197" s="170"/>
    </row>
    <row r="198">
      <c r="A198" s="125"/>
      <c r="B198" s="174"/>
      <c r="D198" s="170"/>
    </row>
    <row r="199">
      <c r="A199" s="125"/>
      <c r="B199" s="174"/>
      <c r="D199" s="170"/>
    </row>
    <row r="200">
      <c r="A200" s="125"/>
      <c r="B200" s="174"/>
      <c r="D200" s="170"/>
    </row>
    <row r="201">
      <c r="A201" s="125"/>
      <c r="B201" s="174"/>
      <c r="D201" s="170"/>
    </row>
    <row r="202">
      <c r="A202" s="125"/>
      <c r="B202" s="174"/>
      <c r="D202" s="170"/>
    </row>
    <row r="203">
      <c r="A203" s="125"/>
      <c r="B203" s="174"/>
      <c r="D203" s="170"/>
    </row>
    <row r="204">
      <c r="A204" s="125"/>
      <c r="B204" s="174"/>
      <c r="D204" s="170"/>
    </row>
    <row r="205">
      <c r="A205" s="125"/>
      <c r="B205" s="174"/>
      <c r="D205" s="170"/>
    </row>
    <row r="206">
      <c r="A206" s="125"/>
      <c r="B206" s="174"/>
      <c r="D206" s="170"/>
    </row>
    <row r="207">
      <c r="A207" s="125"/>
      <c r="B207" s="174"/>
      <c r="D207" s="170"/>
    </row>
    <row r="208">
      <c r="A208" s="125"/>
      <c r="B208" s="174"/>
      <c r="D208" s="170"/>
    </row>
    <row r="209">
      <c r="A209" s="125"/>
      <c r="B209" s="174"/>
      <c r="D209" s="170"/>
    </row>
    <row r="210">
      <c r="A210" s="125"/>
      <c r="B210" s="174"/>
      <c r="D210" s="170"/>
    </row>
    <row r="211">
      <c r="A211" s="125"/>
      <c r="B211" s="174"/>
      <c r="D211" s="170"/>
    </row>
    <row r="212">
      <c r="A212" s="125"/>
      <c r="B212" s="174"/>
      <c r="D212" s="170"/>
    </row>
    <row r="213">
      <c r="A213" s="125"/>
      <c r="B213" s="174"/>
      <c r="D213" s="170"/>
    </row>
    <row r="214">
      <c r="A214" s="125"/>
      <c r="B214" s="174"/>
      <c r="D214" s="170"/>
    </row>
    <row r="215">
      <c r="A215" s="125"/>
      <c r="B215" s="174"/>
      <c r="D215" s="170"/>
    </row>
    <row r="216">
      <c r="A216" s="125"/>
      <c r="B216" s="174"/>
      <c r="D216" s="170"/>
    </row>
    <row r="217">
      <c r="A217" s="125"/>
      <c r="B217" s="174"/>
      <c r="D217" s="170"/>
    </row>
    <row r="218">
      <c r="A218" s="125"/>
      <c r="B218" s="174"/>
      <c r="D218" s="170"/>
    </row>
    <row r="219">
      <c r="A219" s="125"/>
      <c r="B219" s="174"/>
      <c r="D219" s="170"/>
    </row>
    <row r="220">
      <c r="A220" s="125"/>
      <c r="B220" s="174"/>
      <c r="D220" s="170"/>
    </row>
    <row r="221">
      <c r="A221" s="125"/>
      <c r="B221" s="174"/>
      <c r="D221" s="170"/>
    </row>
    <row r="222">
      <c r="A222" s="125"/>
      <c r="B222" s="174"/>
      <c r="D222" s="170"/>
    </row>
    <row r="223">
      <c r="A223" s="125"/>
      <c r="B223" s="174"/>
      <c r="D223" s="170"/>
    </row>
    <row r="224">
      <c r="A224" s="125"/>
      <c r="B224" s="174"/>
      <c r="D224" s="170"/>
    </row>
    <row r="225">
      <c r="A225" s="125"/>
      <c r="B225" s="174"/>
      <c r="D225" s="170"/>
    </row>
    <row r="226">
      <c r="A226" s="125"/>
      <c r="B226" s="174"/>
      <c r="D226" s="170"/>
    </row>
    <row r="227">
      <c r="A227" s="125"/>
      <c r="B227" s="174"/>
      <c r="D227" s="170"/>
    </row>
    <row r="228">
      <c r="A228" s="125"/>
      <c r="B228" s="174"/>
      <c r="D228" s="170"/>
    </row>
    <row r="229">
      <c r="A229" s="125"/>
      <c r="B229" s="174"/>
      <c r="D229" s="170"/>
    </row>
    <row r="230">
      <c r="A230" s="125"/>
      <c r="B230" s="174"/>
      <c r="D230" s="170"/>
    </row>
    <row r="231">
      <c r="A231" s="125"/>
      <c r="B231" s="174"/>
      <c r="D231" s="170"/>
    </row>
    <row r="232">
      <c r="A232" s="125"/>
      <c r="B232" s="174"/>
      <c r="D232" s="170"/>
    </row>
    <row r="233">
      <c r="A233" s="125"/>
      <c r="B233" s="174"/>
      <c r="D233" s="170"/>
    </row>
    <row r="234">
      <c r="A234" s="125"/>
      <c r="B234" s="174"/>
      <c r="D234" s="170"/>
    </row>
    <row r="235">
      <c r="A235" s="125"/>
      <c r="B235" s="174"/>
      <c r="D235" s="170"/>
    </row>
    <row r="236">
      <c r="A236" s="125"/>
      <c r="B236" s="174"/>
      <c r="D236" s="170"/>
    </row>
    <row r="237">
      <c r="A237" s="125"/>
      <c r="B237" s="174"/>
      <c r="D237" s="170"/>
    </row>
    <row r="238">
      <c r="A238" s="125"/>
      <c r="B238" s="174"/>
      <c r="D238" s="170"/>
    </row>
    <row r="239">
      <c r="A239" s="125"/>
      <c r="B239" s="174"/>
      <c r="D239" s="170"/>
    </row>
    <row r="240">
      <c r="A240" s="125"/>
      <c r="B240" s="174"/>
      <c r="D240" s="170"/>
    </row>
    <row r="241">
      <c r="A241" s="125"/>
      <c r="B241" s="174"/>
      <c r="D241" s="170"/>
    </row>
    <row r="242">
      <c r="A242" s="125"/>
      <c r="B242" s="174"/>
      <c r="D242" s="170"/>
    </row>
    <row r="243">
      <c r="A243" s="125"/>
      <c r="B243" s="174"/>
      <c r="D243" s="170"/>
    </row>
    <row r="244">
      <c r="A244" s="125"/>
      <c r="B244" s="174"/>
      <c r="D244" s="170"/>
    </row>
    <row r="245">
      <c r="A245" s="125"/>
      <c r="B245" s="174"/>
      <c r="D245" s="170"/>
    </row>
    <row r="246">
      <c r="A246" s="125"/>
      <c r="B246" s="174"/>
      <c r="D246" s="170"/>
    </row>
    <row r="247">
      <c r="A247" s="125"/>
      <c r="B247" s="174"/>
      <c r="D247" s="170"/>
    </row>
    <row r="248">
      <c r="A248" s="125"/>
      <c r="B248" s="174"/>
      <c r="D248" s="170"/>
    </row>
    <row r="249">
      <c r="A249" s="125"/>
      <c r="B249" s="174"/>
      <c r="D249" s="170"/>
    </row>
    <row r="250">
      <c r="A250" s="125"/>
      <c r="B250" s="174"/>
      <c r="D250" s="170"/>
    </row>
    <row r="251">
      <c r="A251" s="125"/>
      <c r="B251" s="174"/>
      <c r="D251" s="170"/>
    </row>
    <row r="252">
      <c r="A252" s="125"/>
      <c r="B252" s="174"/>
      <c r="D252" s="170"/>
    </row>
    <row r="253">
      <c r="A253" s="125"/>
      <c r="B253" s="174"/>
      <c r="D253" s="170"/>
    </row>
    <row r="254">
      <c r="A254" s="125"/>
      <c r="B254" s="174"/>
      <c r="D254" s="170"/>
    </row>
    <row r="255">
      <c r="A255" s="125"/>
      <c r="B255" s="174"/>
      <c r="D255" s="170"/>
    </row>
    <row r="256">
      <c r="A256" s="125"/>
      <c r="B256" s="174"/>
      <c r="D256" s="170"/>
    </row>
    <row r="257">
      <c r="A257" s="125"/>
      <c r="B257" s="174"/>
      <c r="D257" s="170"/>
    </row>
    <row r="258">
      <c r="A258" s="125"/>
      <c r="B258" s="174"/>
      <c r="D258" s="170"/>
    </row>
    <row r="259">
      <c r="A259" s="125"/>
      <c r="B259" s="174"/>
      <c r="D259" s="170"/>
    </row>
    <row r="260">
      <c r="A260" s="125"/>
      <c r="B260" s="174"/>
      <c r="D260" s="170"/>
    </row>
    <row r="261">
      <c r="A261" s="125"/>
      <c r="B261" s="174"/>
      <c r="D261" s="170"/>
    </row>
    <row r="262">
      <c r="A262" s="125"/>
      <c r="B262" s="174"/>
      <c r="D262" s="170"/>
    </row>
    <row r="263">
      <c r="A263" s="125"/>
      <c r="B263" s="174"/>
      <c r="D263" s="170"/>
    </row>
    <row r="264">
      <c r="A264" s="125"/>
      <c r="B264" s="174"/>
      <c r="D264" s="170"/>
    </row>
    <row r="265">
      <c r="A265" s="125"/>
      <c r="B265" s="174"/>
      <c r="D265" s="170"/>
    </row>
    <row r="266">
      <c r="A266" s="125"/>
      <c r="B266" s="174"/>
      <c r="D266" s="170"/>
    </row>
    <row r="267">
      <c r="A267" s="125"/>
      <c r="B267" s="174"/>
      <c r="D267" s="170"/>
    </row>
    <row r="268">
      <c r="A268" s="125"/>
      <c r="B268" s="174"/>
      <c r="D268" s="170"/>
    </row>
    <row r="269">
      <c r="A269" s="125"/>
      <c r="B269" s="174"/>
      <c r="D269" s="170"/>
    </row>
    <row r="270">
      <c r="A270" s="125"/>
      <c r="B270" s="174"/>
      <c r="D270" s="170"/>
    </row>
    <row r="271">
      <c r="A271" s="125"/>
      <c r="B271" s="174"/>
      <c r="D271" s="170"/>
    </row>
    <row r="272">
      <c r="A272" s="125"/>
      <c r="B272" s="174"/>
      <c r="D272" s="170"/>
    </row>
    <row r="273">
      <c r="A273" s="125"/>
      <c r="B273" s="174"/>
      <c r="D273" s="170"/>
    </row>
    <row r="274">
      <c r="A274" s="125"/>
      <c r="B274" s="174"/>
      <c r="D274" s="170"/>
    </row>
    <row r="275">
      <c r="A275" s="125"/>
      <c r="B275" s="174"/>
      <c r="D275" s="170"/>
    </row>
    <row r="276">
      <c r="A276" s="125"/>
      <c r="B276" s="174"/>
      <c r="D276" s="170"/>
    </row>
    <row r="277">
      <c r="A277" s="125"/>
      <c r="B277" s="174"/>
      <c r="D277" s="170"/>
    </row>
    <row r="278">
      <c r="A278" s="125"/>
      <c r="B278" s="174"/>
      <c r="D278" s="170"/>
    </row>
    <row r="279">
      <c r="A279" s="125"/>
      <c r="B279" s="174"/>
      <c r="D279" s="170"/>
    </row>
    <row r="280">
      <c r="A280" s="125"/>
      <c r="B280" s="174"/>
      <c r="D280" s="170"/>
    </row>
    <row r="281">
      <c r="A281" s="125"/>
      <c r="B281" s="174"/>
      <c r="D281" s="170"/>
    </row>
    <row r="282">
      <c r="A282" s="125"/>
      <c r="B282" s="174"/>
      <c r="D282" s="170"/>
    </row>
    <row r="283">
      <c r="A283" s="125"/>
      <c r="B283" s="174"/>
      <c r="D283" s="170"/>
    </row>
    <row r="284">
      <c r="A284" s="125"/>
      <c r="B284" s="174"/>
      <c r="D284" s="170"/>
    </row>
    <row r="285">
      <c r="A285" s="125"/>
      <c r="B285" s="174"/>
      <c r="D285" s="170"/>
    </row>
    <row r="286">
      <c r="A286" s="125"/>
      <c r="B286" s="174"/>
      <c r="D286" s="170"/>
    </row>
    <row r="287">
      <c r="A287" s="125"/>
      <c r="B287" s="174"/>
      <c r="D287" s="170"/>
    </row>
    <row r="288">
      <c r="A288" s="125"/>
      <c r="B288" s="174"/>
      <c r="D288" s="170"/>
    </row>
    <row r="289">
      <c r="A289" s="125"/>
      <c r="B289" s="174"/>
      <c r="D289" s="170"/>
    </row>
    <row r="290">
      <c r="A290" s="125"/>
      <c r="B290" s="174"/>
      <c r="D290" s="170"/>
    </row>
    <row r="291">
      <c r="A291" s="125"/>
      <c r="B291" s="174"/>
      <c r="D291" s="170"/>
    </row>
    <row r="292">
      <c r="A292" s="125"/>
      <c r="B292" s="174"/>
      <c r="D292" s="170"/>
    </row>
    <row r="293">
      <c r="A293" s="125"/>
      <c r="B293" s="174"/>
      <c r="D293" s="170"/>
    </row>
    <row r="294">
      <c r="A294" s="125"/>
      <c r="B294" s="174"/>
      <c r="D294" s="170"/>
    </row>
    <row r="295">
      <c r="A295" s="125"/>
      <c r="B295" s="174"/>
      <c r="D295" s="170"/>
    </row>
    <row r="296">
      <c r="A296" s="125"/>
      <c r="B296" s="174"/>
      <c r="D296" s="170"/>
    </row>
    <row r="297">
      <c r="A297" s="125"/>
      <c r="B297" s="174"/>
      <c r="D297" s="170"/>
    </row>
    <row r="298">
      <c r="A298" s="125"/>
      <c r="B298" s="174"/>
      <c r="D298" s="170"/>
    </row>
    <row r="299">
      <c r="A299" s="125"/>
      <c r="B299" s="174"/>
      <c r="D299" s="170"/>
    </row>
    <row r="300">
      <c r="A300" s="125"/>
      <c r="B300" s="174"/>
      <c r="D300" s="170"/>
    </row>
    <row r="301">
      <c r="A301" s="125"/>
      <c r="B301" s="174"/>
      <c r="D301" s="170"/>
    </row>
    <row r="302">
      <c r="A302" s="125"/>
      <c r="B302" s="174"/>
      <c r="D302" s="170"/>
    </row>
    <row r="303">
      <c r="A303" s="125"/>
      <c r="B303" s="174"/>
      <c r="D303" s="170"/>
    </row>
    <row r="304">
      <c r="A304" s="125"/>
      <c r="B304" s="174"/>
      <c r="D304" s="170"/>
    </row>
    <row r="305">
      <c r="A305" s="125"/>
      <c r="B305" s="174"/>
      <c r="D305" s="170"/>
    </row>
    <row r="306">
      <c r="A306" s="125"/>
      <c r="B306" s="174"/>
      <c r="D306" s="170"/>
    </row>
    <row r="307">
      <c r="A307" s="125"/>
      <c r="B307" s="174"/>
      <c r="D307" s="170"/>
    </row>
    <row r="308">
      <c r="A308" s="125"/>
      <c r="B308" s="174"/>
      <c r="D308" s="170"/>
    </row>
    <row r="309">
      <c r="A309" s="125"/>
      <c r="B309" s="174"/>
      <c r="D309" s="170"/>
    </row>
    <row r="310">
      <c r="A310" s="125"/>
      <c r="B310" s="174"/>
      <c r="D310" s="170"/>
    </row>
    <row r="311">
      <c r="A311" s="125"/>
      <c r="B311" s="174"/>
      <c r="D311" s="170"/>
    </row>
    <row r="312">
      <c r="A312" s="125"/>
      <c r="B312" s="174"/>
      <c r="D312" s="170"/>
    </row>
    <row r="313">
      <c r="A313" s="125"/>
      <c r="B313" s="174"/>
      <c r="D313" s="170"/>
    </row>
    <row r="314">
      <c r="A314" s="125"/>
      <c r="B314" s="174"/>
      <c r="D314" s="170"/>
    </row>
    <row r="315">
      <c r="A315" s="125"/>
      <c r="B315" s="174"/>
      <c r="D315" s="170"/>
    </row>
    <row r="316">
      <c r="A316" s="125"/>
      <c r="B316" s="174"/>
      <c r="D316" s="170"/>
    </row>
    <row r="317">
      <c r="A317" s="125"/>
      <c r="B317" s="174"/>
      <c r="D317" s="170"/>
    </row>
    <row r="318">
      <c r="A318" s="125"/>
      <c r="B318" s="174"/>
      <c r="D318" s="170"/>
    </row>
    <row r="319">
      <c r="A319" s="125"/>
      <c r="B319" s="174"/>
      <c r="D319" s="170"/>
    </row>
    <row r="320">
      <c r="A320" s="125"/>
      <c r="B320" s="174"/>
      <c r="D320" s="170"/>
    </row>
    <row r="321">
      <c r="A321" s="125"/>
      <c r="B321" s="174"/>
      <c r="D321" s="170"/>
    </row>
    <row r="322">
      <c r="A322" s="125"/>
      <c r="B322" s="174"/>
      <c r="D322" s="170"/>
    </row>
    <row r="323">
      <c r="A323" s="125"/>
      <c r="B323" s="174"/>
      <c r="D323" s="170"/>
    </row>
    <row r="324">
      <c r="A324" s="125"/>
      <c r="B324" s="174"/>
      <c r="D324" s="170"/>
    </row>
    <row r="325">
      <c r="A325" s="125"/>
      <c r="B325" s="174"/>
      <c r="D325" s="170"/>
    </row>
    <row r="326">
      <c r="A326" s="125"/>
      <c r="B326" s="174"/>
      <c r="D326" s="170"/>
    </row>
    <row r="327">
      <c r="A327" s="125"/>
      <c r="B327" s="174"/>
      <c r="D327" s="170"/>
    </row>
    <row r="328">
      <c r="A328" s="125"/>
      <c r="B328" s="174"/>
      <c r="D328" s="170"/>
    </row>
    <row r="329">
      <c r="A329" s="125"/>
      <c r="B329" s="174"/>
      <c r="D329" s="170"/>
    </row>
    <row r="330">
      <c r="A330" s="125"/>
      <c r="B330" s="174"/>
      <c r="D330" s="170"/>
    </row>
    <row r="331">
      <c r="A331" s="125"/>
      <c r="B331" s="174"/>
      <c r="D331" s="170"/>
    </row>
    <row r="332">
      <c r="A332" s="125"/>
      <c r="B332" s="174"/>
      <c r="D332" s="170"/>
    </row>
    <row r="333">
      <c r="A333" s="125"/>
      <c r="B333" s="174"/>
      <c r="D333" s="170"/>
    </row>
    <row r="334">
      <c r="A334" s="125"/>
      <c r="B334" s="174"/>
      <c r="D334" s="170"/>
    </row>
    <row r="335">
      <c r="A335" s="125"/>
      <c r="B335" s="174"/>
      <c r="D335" s="170"/>
    </row>
    <row r="336">
      <c r="A336" s="125"/>
      <c r="B336" s="174"/>
      <c r="D336" s="170"/>
    </row>
    <row r="337">
      <c r="A337" s="125"/>
      <c r="B337" s="174"/>
      <c r="D337" s="170"/>
    </row>
    <row r="338">
      <c r="A338" s="125"/>
      <c r="B338" s="174"/>
      <c r="D338" s="170"/>
    </row>
    <row r="339">
      <c r="A339" s="125"/>
      <c r="B339" s="174"/>
      <c r="D339" s="170"/>
    </row>
    <row r="340">
      <c r="A340" s="125"/>
      <c r="B340" s="174"/>
      <c r="D340" s="170"/>
    </row>
    <row r="341">
      <c r="A341" s="125"/>
      <c r="B341" s="174"/>
      <c r="D341" s="170"/>
    </row>
    <row r="342">
      <c r="A342" s="125"/>
      <c r="B342" s="174"/>
      <c r="D342" s="170"/>
    </row>
    <row r="343">
      <c r="A343" s="125"/>
      <c r="B343" s="174"/>
      <c r="D343" s="170"/>
    </row>
    <row r="344">
      <c r="A344" s="125"/>
      <c r="B344" s="174"/>
      <c r="D344" s="170"/>
    </row>
    <row r="345">
      <c r="A345" s="125"/>
      <c r="B345" s="174"/>
      <c r="D345" s="170"/>
    </row>
    <row r="346">
      <c r="A346" s="125"/>
      <c r="B346" s="174"/>
      <c r="D346" s="170"/>
    </row>
    <row r="347">
      <c r="A347" s="125"/>
      <c r="B347" s="174"/>
      <c r="D347" s="170"/>
    </row>
    <row r="348">
      <c r="A348" s="125"/>
      <c r="B348" s="174"/>
      <c r="D348" s="170"/>
    </row>
    <row r="349">
      <c r="A349" s="125"/>
      <c r="B349" s="174"/>
      <c r="D349" s="170"/>
    </row>
    <row r="350">
      <c r="A350" s="125"/>
      <c r="B350" s="174"/>
      <c r="D350" s="170"/>
    </row>
    <row r="351">
      <c r="A351" s="125"/>
      <c r="B351" s="174"/>
      <c r="D351" s="170"/>
    </row>
    <row r="352">
      <c r="A352" s="125"/>
      <c r="B352" s="174"/>
      <c r="D352" s="170"/>
    </row>
    <row r="353">
      <c r="A353" s="125"/>
      <c r="B353" s="174"/>
      <c r="D353" s="170"/>
    </row>
    <row r="354">
      <c r="A354" s="125"/>
      <c r="B354" s="174"/>
      <c r="D354" s="170"/>
    </row>
    <row r="355">
      <c r="A355" s="125"/>
      <c r="B355" s="174"/>
      <c r="D355" s="170"/>
    </row>
    <row r="356">
      <c r="A356" s="125"/>
      <c r="B356" s="174"/>
      <c r="D356" s="170"/>
    </row>
    <row r="357">
      <c r="A357" s="125"/>
      <c r="B357" s="174"/>
      <c r="D357" s="170"/>
    </row>
    <row r="358">
      <c r="A358" s="125"/>
      <c r="B358" s="174"/>
      <c r="D358" s="170"/>
    </row>
    <row r="359">
      <c r="A359" s="125"/>
      <c r="B359" s="174"/>
      <c r="D359" s="170"/>
    </row>
    <row r="360">
      <c r="A360" s="125"/>
      <c r="B360" s="174"/>
      <c r="D360" s="170"/>
    </row>
    <row r="361">
      <c r="A361" s="125"/>
      <c r="B361" s="174"/>
      <c r="D361" s="170"/>
    </row>
    <row r="362">
      <c r="A362" s="125"/>
      <c r="B362" s="174"/>
      <c r="D362" s="170"/>
    </row>
    <row r="363">
      <c r="A363" s="125"/>
      <c r="B363" s="174"/>
      <c r="D363" s="170"/>
    </row>
    <row r="364">
      <c r="A364" s="125"/>
      <c r="B364" s="174"/>
      <c r="D364" s="170"/>
    </row>
    <row r="365">
      <c r="A365" s="125"/>
      <c r="B365" s="174"/>
      <c r="D365" s="170"/>
    </row>
    <row r="366">
      <c r="A366" s="125"/>
      <c r="B366" s="174"/>
      <c r="D366" s="170"/>
    </row>
    <row r="367">
      <c r="A367" s="125"/>
      <c r="B367" s="174"/>
      <c r="D367" s="170"/>
    </row>
    <row r="368">
      <c r="A368" s="125"/>
      <c r="B368" s="174"/>
      <c r="D368" s="170"/>
    </row>
    <row r="369">
      <c r="A369" s="125"/>
      <c r="B369" s="174"/>
      <c r="D369" s="170"/>
    </row>
    <row r="370">
      <c r="A370" s="125"/>
      <c r="B370" s="174"/>
      <c r="D370" s="170"/>
    </row>
    <row r="371">
      <c r="A371" s="125"/>
      <c r="B371" s="174"/>
      <c r="D371" s="170"/>
    </row>
    <row r="372">
      <c r="A372" s="125"/>
      <c r="B372" s="174"/>
      <c r="D372" s="170"/>
    </row>
    <row r="373">
      <c r="A373" s="125"/>
      <c r="B373" s="174"/>
      <c r="D373" s="170"/>
    </row>
    <row r="374">
      <c r="A374" s="125"/>
      <c r="B374" s="174"/>
      <c r="D374" s="170"/>
    </row>
    <row r="375">
      <c r="A375" s="125"/>
      <c r="B375" s="174"/>
      <c r="D375" s="170"/>
    </row>
    <row r="376">
      <c r="A376" s="125"/>
      <c r="B376" s="174"/>
      <c r="D376" s="170"/>
    </row>
    <row r="377">
      <c r="A377" s="125"/>
      <c r="B377" s="174"/>
      <c r="D377" s="170"/>
    </row>
    <row r="378">
      <c r="A378" s="125"/>
      <c r="B378" s="174"/>
      <c r="D378" s="170"/>
    </row>
    <row r="379">
      <c r="A379" s="125"/>
      <c r="B379" s="174"/>
      <c r="D379" s="170"/>
    </row>
    <row r="380">
      <c r="A380" s="125"/>
      <c r="B380" s="174"/>
      <c r="D380" s="170"/>
    </row>
    <row r="381">
      <c r="A381" s="125"/>
      <c r="B381" s="174"/>
      <c r="D381" s="170"/>
    </row>
    <row r="382">
      <c r="A382" s="125"/>
      <c r="B382" s="174"/>
      <c r="D382" s="170"/>
    </row>
    <row r="383">
      <c r="A383" s="125"/>
      <c r="B383" s="174"/>
      <c r="D383" s="170"/>
    </row>
    <row r="384">
      <c r="A384" s="125"/>
      <c r="B384" s="174"/>
      <c r="D384" s="170"/>
    </row>
    <row r="385">
      <c r="A385" s="125"/>
      <c r="B385" s="174"/>
      <c r="D385" s="170"/>
    </row>
    <row r="386">
      <c r="A386" s="125"/>
      <c r="B386" s="174"/>
      <c r="D386" s="170"/>
    </row>
    <row r="387">
      <c r="A387" s="125"/>
      <c r="B387" s="174"/>
      <c r="D387" s="170"/>
    </row>
    <row r="388">
      <c r="A388" s="125"/>
      <c r="B388" s="174"/>
      <c r="D388" s="170"/>
    </row>
    <row r="389">
      <c r="A389" s="125"/>
      <c r="B389" s="174"/>
      <c r="D389" s="170"/>
    </row>
    <row r="390">
      <c r="A390" s="125"/>
      <c r="B390" s="174"/>
      <c r="D390" s="170"/>
    </row>
    <row r="391">
      <c r="A391" s="125"/>
      <c r="B391" s="174"/>
      <c r="D391" s="170"/>
    </row>
    <row r="392">
      <c r="A392" s="125"/>
      <c r="B392" s="174"/>
      <c r="D392" s="170"/>
    </row>
    <row r="393">
      <c r="A393" s="125"/>
      <c r="B393" s="174"/>
      <c r="D393" s="170"/>
    </row>
    <row r="394">
      <c r="A394" s="125"/>
      <c r="B394" s="174"/>
      <c r="D394" s="170"/>
    </row>
    <row r="395">
      <c r="A395" s="125"/>
      <c r="B395" s="174"/>
      <c r="D395" s="170"/>
    </row>
    <row r="396">
      <c r="A396" s="125"/>
      <c r="B396" s="174"/>
      <c r="D396" s="170"/>
    </row>
    <row r="397">
      <c r="A397" s="125"/>
      <c r="B397" s="174"/>
      <c r="D397" s="170"/>
    </row>
    <row r="398">
      <c r="A398" s="125"/>
      <c r="B398" s="174"/>
      <c r="D398" s="170"/>
    </row>
    <row r="399">
      <c r="A399" s="125"/>
      <c r="B399" s="174"/>
      <c r="D399" s="170"/>
    </row>
    <row r="400">
      <c r="A400" s="125"/>
      <c r="B400" s="174"/>
      <c r="D400" s="170"/>
    </row>
    <row r="401">
      <c r="A401" s="125"/>
      <c r="B401" s="174"/>
      <c r="D401" s="170"/>
    </row>
    <row r="402">
      <c r="A402" s="125"/>
      <c r="B402" s="174"/>
      <c r="D402" s="170"/>
    </row>
    <row r="403">
      <c r="A403" s="125"/>
      <c r="B403" s="174"/>
      <c r="D403" s="170"/>
    </row>
    <row r="404">
      <c r="A404" s="125"/>
      <c r="B404" s="174"/>
      <c r="D404" s="170"/>
    </row>
    <row r="405">
      <c r="A405" s="125"/>
      <c r="B405" s="174"/>
      <c r="D405" s="170"/>
    </row>
    <row r="406">
      <c r="A406" s="125"/>
      <c r="B406" s="174"/>
      <c r="D406" s="170"/>
    </row>
    <row r="407">
      <c r="A407" s="125"/>
      <c r="B407" s="174"/>
      <c r="D407" s="170"/>
    </row>
    <row r="408">
      <c r="A408" s="125"/>
      <c r="B408" s="174"/>
      <c r="D408" s="170"/>
    </row>
    <row r="409">
      <c r="A409" s="125"/>
      <c r="B409" s="174"/>
      <c r="D409" s="170"/>
    </row>
    <row r="410">
      <c r="A410" s="125"/>
      <c r="B410" s="174"/>
      <c r="D410" s="170"/>
    </row>
    <row r="411">
      <c r="A411" s="125"/>
      <c r="B411" s="174"/>
      <c r="D411" s="170"/>
    </row>
    <row r="412">
      <c r="A412" s="125"/>
      <c r="B412" s="174"/>
      <c r="D412" s="170"/>
    </row>
    <row r="413">
      <c r="A413" s="125"/>
      <c r="B413" s="174"/>
      <c r="D413" s="170"/>
    </row>
    <row r="414">
      <c r="A414" s="125"/>
      <c r="B414" s="174"/>
      <c r="D414" s="170"/>
    </row>
    <row r="415">
      <c r="A415" s="125"/>
      <c r="B415" s="174"/>
      <c r="D415" s="170"/>
    </row>
    <row r="416">
      <c r="A416" s="125"/>
      <c r="B416" s="174"/>
      <c r="D416" s="170"/>
    </row>
    <row r="417">
      <c r="A417" s="125"/>
      <c r="B417" s="174"/>
      <c r="D417" s="170"/>
    </row>
    <row r="418">
      <c r="A418" s="125"/>
      <c r="B418" s="174"/>
      <c r="D418" s="170"/>
    </row>
    <row r="419">
      <c r="A419" s="125"/>
      <c r="B419" s="174"/>
      <c r="D419" s="170"/>
    </row>
    <row r="420">
      <c r="A420" s="125"/>
      <c r="B420" s="174"/>
      <c r="D420" s="170"/>
    </row>
    <row r="421">
      <c r="A421" s="125"/>
      <c r="B421" s="174"/>
      <c r="D421" s="170"/>
    </row>
    <row r="422">
      <c r="A422" s="125"/>
      <c r="B422" s="174"/>
      <c r="D422" s="170"/>
    </row>
    <row r="423">
      <c r="A423" s="125"/>
      <c r="B423" s="174"/>
      <c r="D423" s="170"/>
    </row>
    <row r="424">
      <c r="A424" s="125"/>
      <c r="B424" s="174"/>
      <c r="D424" s="170"/>
    </row>
    <row r="425">
      <c r="A425" s="125"/>
      <c r="B425" s="174"/>
      <c r="D425" s="170"/>
    </row>
    <row r="426">
      <c r="A426" s="125"/>
      <c r="B426" s="174"/>
      <c r="D426" s="170"/>
    </row>
    <row r="427">
      <c r="A427" s="125"/>
      <c r="B427" s="174"/>
      <c r="D427" s="170"/>
    </row>
    <row r="428">
      <c r="A428" s="125"/>
      <c r="B428" s="174"/>
      <c r="D428" s="170"/>
    </row>
    <row r="429">
      <c r="A429" s="125"/>
      <c r="B429" s="174"/>
      <c r="D429" s="170"/>
    </row>
    <row r="430">
      <c r="A430" s="125"/>
      <c r="B430" s="174"/>
      <c r="D430" s="170"/>
    </row>
    <row r="431">
      <c r="A431" s="125"/>
      <c r="B431" s="174"/>
      <c r="D431" s="170"/>
    </row>
    <row r="432">
      <c r="A432" s="125"/>
      <c r="B432" s="174"/>
      <c r="D432" s="170"/>
    </row>
    <row r="433">
      <c r="A433" s="125"/>
      <c r="B433" s="174"/>
      <c r="D433" s="170"/>
    </row>
    <row r="434">
      <c r="A434" s="125"/>
      <c r="B434" s="174"/>
      <c r="D434" s="170"/>
    </row>
    <row r="435">
      <c r="A435" s="125"/>
      <c r="B435" s="174"/>
      <c r="D435" s="170"/>
    </row>
    <row r="436">
      <c r="A436" s="125"/>
      <c r="B436" s="174"/>
      <c r="D436" s="170"/>
    </row>
    <row r="437">
      <c r="A437" s="125"/>
      <c r="B437" s="174"/>
      <c r="D437" s="170"/>
    </row>
    <row r="438">
      <c r="A438" s="125"/>
      <c r="B438" s="174"/>
      <c r="D438" s="170"/>
    </row>
    <row r="439">
      <c r="A439" s="125"/>
      <c r="B439" s="174"/>
      <c r="D439" s="170"/>
    </row>
    <row r="440">
      <c r="A440" s="125"/>
      <c r="B440" s="174"/>
      <c r="D440" s="170"/>
    </row>
    <row r="441">
      <c r="A441" s="125"/>
      <c r="B441" s="174"/>
      <c r="D441" s="170"/>
    </row>
    <row r="442">
      <c r="A442" s="125"/>
      <c r="B442" s="174"/>
      <c r="D442" s="170"/>
    </row>
    <row r="443">
      <c r="A443" s="125"/>
      <c r="B443" s="174"/>
      <c r="D443" s="170"/>
    </row>
    <row r="444">
      <c r="A444" s="125"/>
      <c r="B444" s="174"/>
      <c r="D444" s="170"/>
    </row>
    <row r="445">
      <c r="A445" s="125"/>
      <c r="B445" s="174"/>
      <c r="D445" s="170"/>
    </row>
    <row r="446">
      <c r="A446" s="125"/>
      <c r="B446" s="174"/>
      <c r="D446" s="170"/>
    </row>
    <row r="447">
      <c r="A447" s="125"/>
      <c r="B447" s="174"/>
      <c r="D447" s="170"/>
    </row>
    <row r="448">
      <c r="A448" s="125"/>
      <c r="B448" s="174"/>
      <c r="D448" s="170"/>
    </row>
    <row r="449">
      <c r="A449" s="125"/>
      <c r="B449" s="174"/>
      <c r="D449" s="170"/>
    </row>
    <row r="450">
      <c r="A450" s="125"/>
      <c r="B450" s="174"/>
      <c r="D450" s="170"/>
    </row>
    <row r="451">
      <c r="A451" s="125"/>
      <c r="B451" s="174"/>
      <c r="D451" s="170"/>
    </row>
    <row r="452">
      <c r="A452" s="125"/>
      <c r="B452" s="174"/>
      <c r="D452" s="170"/>
    </row>
    <row r="453">
      <c r="A453" s="125"/>
      <c r="B453" s="174"/>
      <c r="D453" s="170"/>
    </row>
    <row r="454">
      <c r="A454" s="125"/>
      <c r="B454" s="174"/>
      <c r="D454" s="170"/>
    </row>
    <row r="455">
      <c r="A455" s="125"/>
      <c r="B455" s="174"/>
      <c r="D455" s="170"/>
    </row>
    <row r="456">
      <c r="A456" s="125"/>
      <c r="B456" s="174"/>
      <c r="D456" s="170"/>
    </row>
    <row r="457">
      <c r="A457" s="125"/>
      <c r="B457" s="174"/>
      <c r="D457" s="170"/>
    </row>
    <row r="458">
      <c r="A458" s="125"/>
      <c r="B458" s="174"/>
      <c r="D458" s="170"/>
    </row>
    <row r="459">
      <c r="A459" s="125"/>
      <c r="B459" s="174"/>
      <c r="D459" s="170"/>
    </row>
    <row r="460">
      <c r="A460" s="125"/>
      <c r="B460" s="174"/>
      <c r="D460" s="170"/>
    </row>
    <row r="461">
      <c r="A461" s="125"/>
      <c r="B461" s="174"/>
      <c r="D461" s="170"/>
    </row>
    <row r="462">
      <c r="A462" s="125"/>
      <c r="B462" s="174"/>
      <c r="D462" s="170"/>
    </row>
    <row r="463">
      <c r="A463" s="125"/>
      <c r="B463" s="174"/>
      <c r="D463" s="170"/>
    </row>
    <row r="464">
      <c r="A464" s="125"/>
      <c r="B464" s="174"/>
      <c r="D464" s="170"/>
    </row>
    <row r="465">
      <c r="A465" s="125"/>
      <c r="B465" s="174"/>
      <c r="D465" s="170"/>
    </row>
    <row r="466">
      <c r="A466" s="125"/>
      <c r="B466" s="174"/>
      <c r="D466" s="170"/>
    </row>
    <row r="467">
      <c r="A467" s="125"/>
      <c r="B467" s="174"/>
      <c r="D467" s="170"/>
    </row>
    <row r="468">
      <c r="A468" s="125"/>
      <c r="B468" s="174"/>
      <c r="D468" s="170"/>
    </row>
    <row r="469">
      <c r="A469" s="125"/>
      <c r="B469" s="174"/>
      <c r="D469" s="170"/>
    </row>
    <row r="470">
      <c r="A470" s="125"/>
      <c r="B470" s="174"/>
      <c r="D470" s="170"/>
    </row>
    <row r="471">
      <c r="A471" s="125"/>
      <c r="B471" s="174"/>
      <c r="D471" s="170"/>
    </row>
    <row r="472">
      <c r="A472" s="125"/>
      <c r="B472" s="174"/>
      <c r="D472" s="170"/>
    </row>
    <row r="473">
      <c r="A473" s="125"/>
      <c r="B473" s="174"/>
      <c r="D473" s="170"/>
    </row>
    <row r="474">
      <c r="A474" s="125"/>
      <c r="B474" s="174"/>
      <c r="D474" s="170"/>
    </row>
    <row r="475">
      <c r="A475" s="125"/>
      <c r="B475" s="174"/>
      <c r="D475" s="170"/>
    </row>
    <row r="476">
      <c r="A476" s="125"/>
      <c r="B476" s="174"/>
      <c r="D476" s="170"/>
    </row>
    <row r="477">
      <c r="A477" s="125"/>
      <c r="B477" s="174"/>
      <c r="D477" s="170"/>
    </row>
    <row r="478">
      <c r="A478" s="125"/>
      <c r="B478" s="174"/>
      <c r="D478" s="170"/>
    </row>
    <row r="479">
      <c r="A479" s="125"/>
      <c r="B479" s="174"/>
      <c r="D479" s="170"/>
    </row>
    <row r="480">
      <c r="A480" s="125"/>
      <c r="B480" s="174"/>
      <c r="D480" s="170"/>
    </row>
    <row r="481">
      <c r="A481" s="125"/>
      <c r="B481" s="174"/>
      <c r="D481" s="170"/>
    </row>
    <row r="482">
      <c r="A482" s="125"/>
      <c r="B482" s="174"/>
      <c r="D482" s="170"/>
    </row>
    <row r="483">
      <c r="A483" s="125"/>
      <c r="B483" s="174"/>
      <c r="D483" s="170"/>
    </row>
    <row r="484">
      <c r="A484" s="125"/>
      <c r="B484" s="174"/>
      <c r="D484" s="170"/>
    </row>
    <row r="485">
      <c r="A485" s="125"/>
      <c r="B485" s="174"/>
      <c r="D485" s="170"/>
    </row>
    <row r="486">
      <c r="A486" s="125"/>
      <c r="B486" s="174"/>
      <c r="D486" s="170"/>
    </row>
    <row r="487">
      <c r="A487" s="125"/>
      <c r="B487" s="174"/>
      <c r="D487" s="170"/>
    </row>
    <row r="488">
      <c r="A488" s="125"/>
      <c r="B488" s="174"/>
      <c r="D488" s="170"/>
    </row>
    <row r="489">
      <c r="A489" s="125"/>
      <c r="B489" s="174"/>
      <c r="D489" s="170"/>
    </row>
    <row r="490">
      <c r="A490" s="125"/>
      <c r="B490" s="174"/>
      <c r="D490" s="170"/>
    </row>
    <row r="491">
      <c r="A491" s="125"/>
      <c r="B491" s="174"/>
      <c r="D491" s="170"/>
    </row>
    <row r="492">
      <c r="A492" s="125"/>
      <c r="B492" s="174"/>
      <c r="D492" s="170"/>
    </row>
    <row r="493">
      <c r="A493" s="125"/>
      <c r="B493" s="174"/>
      <c r="D493" s="170"/>
    </row>
    <row r="494">
      <c r="A494" s="125"/>
      <c r="B494" s="174"/>
      <c r="D494" s="170"/>
    </row>
    <row r="495">
      <c r="A495" s="125"/>
      <c r="B495" s="174"/>
      <c r="D495" s="170"/>
    </row>
    <row r="496">
      <c r="A496" s="125"/>
      <c r="B496" s="174"/>
      <c r="D496" s="170"/>
    </row>
    <row r="497">
      <c r="A497" s="125"/>
      <c r="B497" s="174"/>
      <c r="D497" s="170"/>
    </row>
    <row r="498">
      <c r="A498" s="125"/>
      <c r="B498" s="174"/>
      <c r="D498" s="170"/>
    </row>
    <row r="499">
      <c r="A499" s="125"/>
      <c r="B499" s="174"/>
      <c r="D499" s="170"/>
    </row>
    <row r="500">
      <c r="A500" s="125"/>
      <c r="B500" s="174"/>
      <c r="D500" s="170"/>
    </row>
    <row r="501">
      <c r="A501" s="125"/>
      <c r="B501" s="174"/>
      <c r="D501" s="170"/>
    </row>
    <row r="502">
      <c r="A502" s="125"/>
      <c r="B502" s="174"/>
      <c r="D502" s="170"/>
    </row>
    <row r="503">
      <c r="A503" s="125"/>
      <c r="B503" s="174"/>
      <c r="D503" s="170"/>
    </row>
    <row r="504">
      <c r="A504" s="125"/>
      <c r="B504" s="174"/>
      <c r="D504" s="170"/>
    </row>
    <row r="505">
      <c r="A505" s="125"/>
      <c r="B505" s="174"/>
      <c r="D505" s="170"/>
    </row>
    <row r="506">
      <c r="A506" s="125"/>
      <c r="B506" s="174"/>
      <c r="D506" s="170"/>
    </row>
    <row r="507">
      <c r="A507" s="125"/>
      <c r="B507" s="174"/>
      <c r="D507" s="170"/>
    </row>
    <row r="508">
      <c r="A508" s="125"/>
      <c r="B508" s="174"/>
      <c r="D508" s="170"/>
    </row>
    <row r="509">
      <c r="A509" s="125"/>
      <c r="B509" s="174"/>
      <c r="D509" s="170"/>
    </row>
    <row r="510">
      <c r="A510" s="125"/>
      <c r="B510" s="174"/>
      <c r="D510" s="170"/>
    </row>
    <row r="511">
      <c r="A511" s="125"/>
      <c r="B511" s="174"/>
      <c r="D511" s="170"/>
    </row>
    <row r="512">
      <c r="A512" s="125"/>
      <c r="B512" s="174"/>
      <c r="D512" s="170"/>
    </row>
    <row r="513">
      <c r="A513" s="125"/>
      <c r="B513" s="174"/>
      <c r="D513" s="170"/>
    </row>
    <row r="514">
      <c r="A514" s="125"/>
      <c r="B514" s="174"/>
      <c r="D514" s="170"/>
    </row>
    <row r="515">
      <c r="A515" s="125"/>
      <c r="B515" s="174"/>
      <c r="D515" s="170"/>
    </row>
    <row r="516">
      <c r="A516" s="125"/>
      <c r="B516" s="174"/>
      <c r="D516" s="170"/>
    </row>
    <row r="517">
      <c r="A517" s="125"/>
      <c r="B517" s="174"/>
      <c r="D517" s="170"/>
    </row>
    <row r="518">
      <c r="A518" s="125"/>
      <c r="B518" s="174"/>
      <c r="D518" s="170"/>
    </row>
    <row r="519">
      <c r="A519" s="125"/>
      <c r="B519" s="174"/>
      <c r="D519" s="170"/>
    </row>
    <row r="520">
      <c r="A520" s="125"/>
      <c r="B520" s="174"/>
      <c r="D520" s="170"/>
    </row>
    <row r="521">
      <c r="A521" s="125"/>
      <c r="B521" s="174"/>
      <c r="D521" s="170"/>
    </row>
    <row r="522">
      <c r="A522" s="125"/>
      <c r="B522" s="174"/>
      <c r="D522" s="170"/>
    </row>
    <row r="523">
      <c r="A523" s="125"/>
      <c r="B523" s="174"/>
      <c r="D523" s="170"/>
    </row>
    <row r="524">
      <c r="A524" s="125"/>
      <c r="B524" s="174"/>
      <c r="D524" s="170"/>
    </row>
    <row r="525">
      <c r="A525" s="125"/>
      <c r="B525" s="174"/>
      <c r="D525" s="170"/>
    </row>
    <row r="526">
      <c r="A526" s="125"/>
      <c r="B526" s="174"/>
      <c r="D526" s="170"/>
    </row>
    <row r="527">
      <c r="A527" s="125"/>
      <c r="B527" s="174"/>
      <c r="D527" s="170"/>
    </row>
    <row r="528">
      <c r="A528" s="125"/>
      <c r="B528" s="174"/>
      <c r="D528" s="170"/>
    </row>
    <row r="529">
      <c r="A529" s="125"/>
      <c r="B529" s="174"/>
      <c r="D529" s="170"/>
    </row>
    <row r="530">
      <c r="A530" s="125"/>
      <c r="B530" s="174"/>
      <c r="D530" s="170"/>
    </row>
    <row r="531">
      <c r="A531" s="125"/>
      <c r="B531" s="174"/>
      <c r="D531" s="170"/>
    </row>
    <row r="532">
      <c r="A532" s="125"/>
      <c r="B532" s="174"/>
      <c r="D532" s="170"/>
    </row>
    <row r="533">
      <c r="A533" s="125"/>
      <c r="B533" s="174"/>
      <c r="D533" s="170"/>
    </row>
    <row r="534">
      <c r="A534" s="125"/>
      <c r="B534" s="174"/>
      <c r="D534" s="170"/>
    </row>
    <row r="535">
      <c r="A535" s="125"/>
      <c r="B535" s="174"/>
      <c r="D535" s="170"/>
    </row>
    <row r="536">
      <c r="A536" s="125"/>
      <c r="B536" s="174"/>
      <c r="D536" s="170"/>
    </row>
    <row r="537">
      <c r="A537" s="125"/>
      <c r="B537" s="174"/>
      <c r="D537" s="170"/>
    </row>
    <row r="538">
      <c r="A538" s="125"/>
      <c r="B538" s="174"/>
      <c r="D538" s="170"/>
    </row>
    <row r="539">
      <c r="A539" s="125"/>
      <c r="B539" s="174"/>
      <c r="D539" s="170"/>
    </row>
    <row r="540">
      <c r="A540" s="125"/>
      <c r="B540" s="174"/>
      <c r="D540" s="170"/>
    </row>
    <row r="541">
      <c r="A541" s="125"/>
      <c r="B541" s="174"/>
      <c r="D541" s="170"/>
    </row>
    <row r="542">
      <c r="A542" s="125"/>
      <c r="B542" s="174"/>
      <c r="D542" s="170"/>
    </row>
    <row r="543">
      <c r="A543" s="125"/>
      <c r="B543" s="174"/>
      <c r="D543" s="170"/>
    </row>
    <row r="544">
      <c r="A544" s="125"/>
      <c r="B544" s="174"/>
      <c r="D544" s="170"/>
    </row>
    <row r="545">
      <c r="A545" s="125"/>
      <c r="B545" s="174"/>
      <c r="D545" s="170"/>
    </row>
    <row r="546">
      <c r="A546" s="125"/>
      <c r="B546" s="174"/>
      <c r="D546" s="170"/>
    </row>
    <row r="547">
      <c r="A547" s="125"/>
      <c r="B547" s="174"/>
      <c r="D547" s="170"/>
    </row>
    <row r="548">
      <c r="A548" s="125"/>
      <c r="B548" s="174"/>
      <c r="D548" s="170"/>
    </row>
    <row r="549">
      <c r="A549" s="125"/>
      <c r="B549" s="174"/>
      <c r="D549" s="170"/>
    </row>
    <row r="550">
      <c r="A550" s="125"/>
      <c r="B550" s="174"/>
      <c r="D550" s="170"/>
    </row>
    <row r="551">
      <c r="A551" s="125"/>
      <c r="B551" s="174"/>
      <c r="D551" s="170"/>
    </row>
    <row r="552">
      <c r="A552" s="125"/>
      <c r="B552" s="174"/>
      <c r="D552" s="170"/>
    </row>
    <row r="553">
      <c r="A553" s="125"/>
      <c r="B553" s="174"/>
      <c r="D553" s="170"/>
    </row>
    <row r="554">
      <c r="A554" s="125"/>
      <c r="B554" s="174"/>
      <c r="D554" s="170"/>
    </row>
    <row r="555">
      <c r="A555" s="125"/>
      <c r="B555" s="174"/>
      <c r="D555" s="170"/>
    </row>
    <row r="556">
      <c r="A556" s="125"/>
      <c r="B556" s="174"/>
      <c r="D556" s="170"/>
    </row>
    <row r="557">
      <c r="A557" s="125"/>
      <c r="B557" s="174"/>
      <c r="D557" s="170"/>
    </row>
    <row r="558">
      <c r="A558" s="125"/>
      <c r="B558" s="174"/>
      <c r="D558" s="170"/>
    </row>
    <row r="559">
      <c r="A559" s="125"/>
      <c r="B559" s="174"/>
      <c r="D559" s="170"/>
    </row>
    <row r="560">
      <c r="A560" s="125"/>
      <c r="B560" s="174"/>
      <c r="D560" s="170"/>
    </row>
    <row r="561">
      <c r="A561" s="125"/>
      <c r="B561" s="174"/>
      <c r="D561" s="170"/>
    </row>
    <row r="562">
      <c r="A562" s="125"/>
      <c r="B562" s="174"/>
      <c r="D562" s="170"/>
    </row>
    <row r="563">
      <c r="A563" s="125"/>
      <c r="B563" s="174"/>
      <c r="D563" s="170"/>
    </row>
    <row r="564">
      <c r="A564" s="125"/>
      <c r="B564" s="174"/>
      <c r="D564" s="170"/>
    </row>
    <row r="565">
      <c r="A565" s="125"/>
      <c r="B565" s="174"/>
      <c r="D565" s="170"/>
    </row>
    <row r="566">
      <c r="A566" s="125"/>
      <c r="B566" s="174"/>
      <c r="D566" s="170"/>
    </row>
    <row r="567">
      <c r="A567" s="125"/>
      <c r="B567" s="174"/>
      <c r="D567" s="170"/>
    </row>
    <row r="568">
      <c r="A568" s="125"/>
      <c r="B568" s="174"/>
      <c r="D568" s="170"/>
    </row>
    <row r="569">
      <c r="A569" s="125"/>
      <c r="B569" s="174"/>
      <c r="D569" s="170"/>
    </row>
    <row r="570">
      <c r="A570" s="125"/>
      <c r="B570" s="174"/>
      <c r="D570" s="170"/>
    </row>
    <row r="571">
      <c r="A571" s="125"/>
      <c r="B571" s="174"/>
      <c r="D571" s="170"/>
    </row>
    <row r="572">
      <c r="A572" s="125"/>
      <c r="B572" s="174"/>
      <c r="D572" s="170"/>
    </row>
    <row r="573">
      <c r="A573" s="125"/>
      <c r="B573" s="174"/>
      <c r="D573" s="170"/>
    </row>
    <row r="574">
      <c r="A574" s="125"/>
      <c r="B574" s="174"/>
      <c r="D574" s="170"/>
    </row>
    <row r="575">
      <c r="A575" s="125"/>
      <c r="B575" s="174"/>
      <c r="D575" s="170"/>
    </row>
    <row r="576">
      <c r="A576" s="125"/>
      <c r="B576" s="174"/>
      <c r="D576" s="170"/>
    </row>
    <row r="577">
      <c r="A577" s="125"/>
      <c r="B577" s="174"/>
      <c r="D577" s="170"/>
    </row>
    <row r="578">
      <c r="A578" s="125"/>
      <c r="B578" s="174"/>
      <c r="D578" s="170"/>
    </row>
    <row r="579">
      <c r="A579" s="125"/>
      <c r="B579" s="174"/>
      <c r="D579" s="170"/>
    </row>
    <row r="580">
      <c r="A580" s="125"/>
      <c r="B580" s="174"/>
      <c r="D580" s="170"/>
    </row>
    <row r="581">
      <c r="A581" s="125"/>
      <c r="B581" s="174"/>
      <c r="D581" s="170"/>
    </row>
    <row r="582">
      <c r="A582" s="125"/>
      <c r="B582" s="174"/>
      <c r="D582" s="170"/>
    </row>
    <row r="583">
      <c r="A583" s="125"/>
      <c r="B583" s="174"/>
      <c r="D583" s="170"/>
    </row>
    <row r="584">
      <c r="A584" s="125"/>
      <c r="B584" s="174"/>
      <c r="D584" s="170"/>
    </row>
    <row r="585">
      <c r="A585" s="125"/>
      <c r="B585" s="174"/>
      <c r="D585" s="170"/>
    </row>
    <row r="586">
      <c r="A586" s="125"/>
      <c r="B586" s="174"/>
      <c r="D586" s="170"/>
    </row>
    <row r="587">
      <c r="A587" s="125"/>
      <c r="B587" s="174"/>
      <c r="D587" s="170"/>
    </row>
    <row r="588">
      <c r="A588" s="125"/>
      <c r="B588" s="174"/>
      <c r="D588" s="170"/>
    </row>
    <row r="589">
      <c r="A589" s="125"/>
      <c r="B589" s="174"/>
      <c r="D589" s="170"/>
    </row>
    <row r="590">
      <c r="A590" s="125"/>
      <c r="B590" s="174"/>
      <c r="D590" s="170"/>
    </row>
    <row r="591">
      <c r="A591" s="125"/>
      <c r="B591" s="174"/>
      <c r="D591" s="170"/>
    </row>
    <row r="592">
      <c r="A592" s="125"/>
      <c r="B592" s="174"/>
      <c r="D592" s="170"/>
    </row>
    <row r="593">
      <c r="A593" s="125"/>
      <c r="B593" s="174"/>
      <c r="D593" s="170"/>
    </row>
    <row r="594">
      <c r="A594" s="125"/>
      <c r="B594" s="174"/>
      <c r="D594" s="170"/>
    </row>
    <row r="595">
      <c r="A595" s="125"/>
      <c r="B595" s="174"/>
      <c r="D595" s="170"/>
    </row>
    <row r="596">
      <c r="A596" s="125"/>
      <c r="B596" s="174"/>
      <c r="D596" s="170"/>
    </row>
    <row r="597">
      <c r="A597" s="125"/>
      <c r="B597" s="174"/>
      <c r="D597" s="170"/>
    </row>
    <row r="598">
      <c r="A598" s="125"/>
      <c r="B598" s="174"/>
      <c r="D598" s="170"/>
    </row>
    <row r="599">
      <c r="A599" s="125"/>
      <c r="B599" s="174"/>
      <c r="D599" s="170"/>
    </row>
    <row r="600">
      <c r="A600" s="125"/>
      <c r="B600" s="174"/>
      <c r="D600" s="170"/>
    </row>
    <row r="601">
      <c r="A601" s="125"/>
      <c r="B601" s="174"/>
      <c r="D601" s="170"/>
    </row>
    <row r="602">
      <c r="A602" s="125"/>
      <c r="B602" s="174"/>
      <c r="D602" s="170"/>
    </row>
    <row r="603">
      <c r="A603" s="125"/>
      <c r="B603" s="174"/>
      <c r="D603" s="170"/>
    </row>
    <row r="604">
      <c r="A604" s="125"/>
      <c r="B604" s="174"/>
      <c r="D604" s="170"/>
    </row>
    <row r="605">
      <c r="A605" s="125"/>
      <c r="B605" s="174"/>
      <c r="D605" s="170"/>
    </row>
    <row r="606">
      <c r="A606" s="125"/>
      <c r="B606" s="174"/>
      <c r="D606" s="170"/>
    </row>
    <row r="607">
      <c r="A607" s="125"/>
      <c r="B607" s="174"/>
      <c r="D607" s="170"/>
    </row>
    <row r="608">
      <c r="A608" s="125"/>
      <c r="B608" s="174"/>
      <c r="D608" s="170"/>
    </row>
    <row r="609">
      <c r="A609" s="125"/>
      <c r="B609" s="174"/>
      <c r="D609" s="170"/>
    </row>
    <row r="610">
      <c r="A610" s="125"/>
      <c r="B610" s="174"/>
      <c r="D610" s="170"/>
    </row>
    <row r="611">
      <c r="A611" s="125"/>
      <c r="B611" s="174"/>
      <c r="D611" s="170"/>
    </row>
    <row r="612">
      <c r="A612" s="125"/>
      <c r="B612" s="174"/>
      <c r="D612" s="170"/>
    </row>
    <row r="613">
      <c r="A613" s="125"/>
      <c r="B613" s="174"/>
      <c r="D613" s="170"/>
    </row>
    <row r="614">
      <c r="A614" s="125"/>
      <c r="B614" s="174"/>
      <c r="D614" s="170"/>
    </row>
    <row r="615">
      <c r="A615" s="125"/>
      <c r="B615" s="174"/>
      <c r="D615" s="170"/>
    </row>
    <row r="616">
      <c r="A616" s="125"/>
      <c r="B616" s="174"/>
      <c r="D616" s="170"/>
    </row>
    <row r="617">
      <c r="A617" s="125"/>
      <c r="B617" s="174"/>
      <c r="D617" s="170"/>
    </row>
    <row r="618">
      <c r="A618" s="125"/>
      <c r="B618" s="174"/>
      <c r="D618" s="170"/>
    </row>
    <row r="619">
      <c r="A619" s="125"/>
      <c r="B619" s="174"/>
      <c r="D619" s="170"/>
    </row>
    <row r="620">
      <c r="A620" s="125"/>
      <c r="B620" s="174"/>
      <c r="D620" s="170"/>
    </row>
    <row r="621">
      <c r="A621" s="125"/>
      <c r="B621" s="174"/>
      <c r="D621" s="170"/>
    </row>
    <row r="622">
      <c r="A622" s="125"/>
      <c r="B622" s="174"/>
      <c r="D622" s="170"/>
    </row>
    <row r="623">
      <c r="A623" s="125"/>
      <c r="B623" s="174"/>
      <c r="D623" s="170"/>
    </row>
    <row r="624">
      <c r="A624" s="125"/>
      <c r="B624" s="174"/>
      <c r="D624" s="170"/>
    </row>
    <row r="625">
      <c r="A625" s="125"/>
      <c r="B625" s="174"/>
      <c r="D625" s="170"/>
    </row>
    <row r="626">
      <c r="A626" s="125"/>
      <c r="B626" s="174"/>
      <c r="D626" s="170"/>
    </row>
    <row r="627">
      <c r="A627" s="125"/>
      <c r="B627" s="174"/>
      <c r="D627" s="170"/>
    </row>
    <row r="628">
      <c r="A628" s="125"/>
      <c r="B628" s="174"/>
      <c r="D628" s="170"/>
    </row>
    <row r="629">
      <c r="A629" s="125"/>
      <c r="B629" s="174"/>
      <c r="D629" s="170"/>
    </row>
    <row r="630">
      <c r="A630" s="125"/>
      <c r="B630" s="174"/>
      <c r="D630" s="170"/>
    </row>
    <row r="631">
      <c r="A631" s="125"/>
      <c r="B631" s="174"/>
      <c r="D631" s="170"/>
    </row>
    <row r="632">
      <c r="A632" s="125"/>
      <c r="B632" s="174"/>
      <c r="D632" s="170"/>
    </row>
    <row r="633">
      <c r="A633" s="125"/>
      <c r="B633" s="174"/>
      <c r="D633" s="170"/>
    </row>
    <row r="634">
      <c r="A634" s="125"/>
      <c r="B634" s="174"/>
      <c r="D634" s="170"/>
    </row>
    <row r="635">
      <c r="A635" s="125"/>
      <c r="B635" s="174"/>
      <c r="D635" s="170"/>
    </row>
    <row r="636">
      <c r="A636" s="125"/>
      <c r="B636" s="174"/>
      <c r="D636" s="170"/>
    </row>
    <row r="637">
      <c r="A637" s="125"/>
      <c r="B637" s="174"/>
      <c r="D637" s="170"/>
    </row>
    <row r="638">
      <c r="A638" s="125"/>
      <c r="B638" s="174"/>
      <c r="D638" s="170"/>
    </row>
    <row r="639">
      <c r="A639" s="125"/>
      <c r="B639" s="174"/>
      <c r="D639" s="170"/>
    </row>
    <row r="640">
      <c r="A640" s="125"/>
      <c r="B640" s="174"/>
      <c r="D640" s="170"/>
    </row>
    <row r="641">
      <c r="A641" s="125"/>
      <c r="B641" s="174"/>
      <c r="D641" s="170"/>
    </row>
    <row r="642">
      <c r="A642" s="125"/>
      <c r="B642" s="174"/>
      <c r="D642" s="170"/>
    </row>
    <row r="643">
      <c r="A643" s="125"/>
      <c r="B643" s="174"/>
      <c r="D643" s="170"/>
    </row>
    <row r="644">
      <c r="A644" s="125"/>
      <c r="B644" s="174"/>
      <c r="D644" s="170"/>
    </row>
    <row r="645">
      <c r="A645" s="125"/>
      <c r="B645" s="174"/>
      <c r="D645" s="170"/>
    </row>
    <row r="646">
      <c r="A646" s="125"/>
      <c r="B646" s="174"/>
      <c r="D646" s="170"/>
    </row>
    <row r="647">
      <c r="A647" s="125"/>
      <c r="B647" s="174"/>
      <c r="D647" s="170"/>
    </row>
    <row r="648">
      <c r="A648" s="125"/>
      <c r="B648" s="174"/>
      <c r="D648" s="170"/>
    </row>
    <row r="649">
      <c r="A649" s="125"/>
      <c r="B649" s="174"/>
      <c r="D649" s="170"/>
    </row>
    <row r="650">
      <c r="A650" s="125"/>
      <c r="B650" s="174"/>
      <c r="D650" s="170"/>
    </row>
    <row r="651">
      <c r="A651" s="125"/>
      <c r="B651" s="174"/>
      <c r="D651" s="170"/>
    </row>
    <row r="652">
      <c r="A652" s="125"/>
      <c r="B652" s="174"/>
      <c r="D652" s="170"/>
    </row>
    <row r="653">
      <c r="A653" s="125"/>
      <c r="B653" s="174"/>
      <c r="D653" s="170"/>
    </row>
    <row r="654">
      <c r="A654" s="125"/>
      <c r="B654" s="174"/>
      <c r="D654" s="170"/>
    </row>
    <row r="655">
      <c r="A655" s="125"/>
      <c r="B655" s="174"/>
      <c r="D655" s="170"/>
    </row>
    <row r="656">
      <c r="A656" s="125"/>
      <c r="B656" s="174"/>
      <c r="D656" s="170"/>
    </row>
    <row r="657">
      <c r="A657" s="125"/>
      <c r="B657" s="174"/>
      <c r="D657" s="170"/>
    </row>
    <row r="658">
      <c r="A658" s="125"/>
      <c r="B658" s="174"/>
      <c r="D658" s="170"/>
    </row>
    <row r="659">
      <c r="A659" s="125"/>
      <c r="B659" s="174"/>
      <c r="D659" s="170"/>
    </row>
    <row r="660">
      <c r="A660" s="125"/>
      <c r="B660" s="174"/>
      <c r="D660" s="170"/>
    </row>
    <row r="661">
      <c r="A661" s="125"/>
      <c r="B661" s="174"/>
      <c r="D661" s="170"/>
    </row>
    <row r="662">
      <c r="A662" s="125"/>
      <c r="B662" s="174"/>
      <c r="D662" s="170"/>
    </row>
    <row r="663">
      <c r="A663" s="125"/>
      <c r="B663" s="174"/>
      <c r="D663" s="170"/>
    </row>
    <row r="664">
      <c r="A664" s="125"/>
      <c r="B664" s="174"/>
      <c r="D664" s="170"/>
    </row>
    <row r="665">
      <c r="A665" s="125"/>
      <c r="B665" s="174"/>
      <c r="D665" s="170"/>
    </row>
    <row r="666">
      <c r="A666" s="125"/>
      <c r="B666" s="174"/>
      <c r="D666" s="170"/>
    </row>
    <row r="667">
      <c r="A667" s="125"/>
      <c r="B667" s="174"/>
      <c r="D667" s="170"/>
    </row>
    <row r="668">
      <c r="A668" s="125"/>
      <c r="B668" s="174"/>
      <c r="D668" s="170"/>
    </row>
    <row r="669">
      <c r="A669" s="125"/>
      <c r="B669" s="174"/>
      <c r="D669" s="170"/>
    </row>
    <row r="670">
      <c r="A670" s="125"/>
      <c r="B670" s="174"/>
      <c r="D670" s="170"/>
    </row>
    <row r="671">
      <c r="A671" s="125"/>
      <c r="B671" s="174"/>
      <c r="D671" s="170"/>
    </row>
    <row r="672">
      <c r="A672" s="125"/>
      <c r="B672" s="174"/>
      <c r="D672" s="170"/>
    </row>
    <row r="673">
      <c r="A673" s="125"/>
      <c r="B673" s="174"/>
      <c r="D673" s="170"/>
    </row>
    <row r="674">
      <c r="A674" s="125"/>
      <c r="B674" s="174"/>
      <c r="D674" s="170"/>
    </row>
    <row r="675">
      <c r="A675" s="125"/>
      <c r="B675" s="174"/>
      <c r="D675" s="170"/>
    </row>
    <row r="676">
      <c r="A676" s="125"/>
      <c r="B676" s="174"/>
      <c r="D676" s="170"/>
    </row>
    <row r="677">
      <c r="A677" s="125"/>
      <c r="B677" s="174"/>
      <c r="D677" s="170"/>
    </row>
    <row r="678">
      <c r="A678" s="125"/>
      <c r="B678" s="174"/>
      <c r="D678" s="170"/>
    </row>
    <row r="679">
      <c r="A679" s="125"/>
      <c r="B679" s="174"/>
      <c r="D679" s="170"/>
    </row>
    <row r="680">
      <c r="A680" s="125"/>
      <c r="B680" s="174"/>
      <c r="D680" s="170"/>
    </row>
    <row r="681">
      <c r="A681" s="125"/>
      <c r="B681" s="174"/>
      <c r="D681" s="170"/>
    </row>
    <row r="682">
      <c r="A682" s="125"/>
      <c r="B682" s="174"/>
      <c r="D682" s="170"/>
    </row>
    <row r="683">
      <c r="A683" s="125"/>
      <c r="B683" s="174"/>
      <c r="D683" s="170"/>
    </row>
    <row r="684">
      <c r="A684" s="125"/>
      <c r="B684" s="174"/>
      <c r="D684" s="170"/>
    </row>
    <row r="685">
      <c r="A685" s="125"/>
      <c r="B685" s="174"/>
      <c r="D685" s="170"/>
    </row>
    <row r="686">
      <c r="A686" s="125"/>
      <c r="B686" s="174"/>
      <c r="D686" s="170"/>
    </row>
    <row r="687">
      <c r="A687" s="125"/>
      <c r="B687" s="174"/>
      <c r="D687" s="170"/>
    </row>
    <row r="688">
      <c r="A688" s="125"/>
      <c r="B688" s="174"/>
      <c r="D688" s="170"/>
    </row>
    <row r="689">
      <c r="A689" s="125"/>
      <c r="B689" s="174"/>
      <c r="D689" s="170"/>
    </row>
    <row r="690">
      <c r="A690" s="125"/>
      <c r="B690" s="174"/>
      <c r="D690" s="170"/>
    </row>
    <row r="691">
      <c r="A691" s="125"/>
      <c r="B691" s="174"/>
      <c r="D691" s="170"/>
    </row>
    <row r="692">
      <c r="A692" s="125"/>
      <c r="B692" s="174"/>
      <c r="D692" s="170"/>
    </row>
    <row r="693">
      <c r="A693" s="125"/>
      <c r="B693" s="174"/>
      <c r="D693" s="170"/>
    </row>
    <row r="694">
      <c r="A694" s="125"/>
      <c r="B694" s="174"/>
      <c r="D694" s="170"/>
    </row>
    <row r="695">
      <c r="A695" s="125"/>
      <c r="B695" s="174"/>
      <c r="D695" s="170"/>
    </row>
    <row r="696">
      <c r="A696" s="125"/>
      <c r="B696" s="174"/>
      <c r="D696" s="170"/>
    </row>
    <row r="697">
      <c r="A697" s="125"/>
      <c r="B697" s="174"/>
      <c r="D697" s="170"/>
    </row>
    <row r="698">
      <c r="A698" s="125"/>
      <c r="B698" s="174"/>
      <c r="D698" s="170"/>
    </row>
    <row r="699">
      <c r="A699" s="125"/>
      <c r="B699" s="174"/>
      <c r="D699" s="170"/>
    </row>
    <row r="700">
      <c r="A700" s="125"/>
      <c r="B700" s="174"/>
      <c r="D700" s="170"/>
    </row>
    <row r="701">
      <c r="A701" s="125"/>
      <c r="B701" s="174"/>
      <c r="D701" s="170"/>
    </row>
    <row r="702">
      <c r="A702" s="125"/>
      <c r="B702" s="174"/>
      <c r="D702" s="170"/>
    </row>
    <row r="703">
      <c r="A703" s="125"/>
      <c r="B703" s="174"/>
      <c r="D703" s="170"/>
    </row>
    <row r="704">
      <c r="A704" s="125"/>
      <c r="B704" s="174"/>
      <c r="D704" s="170"/>
    </row>
    <row r="705">
      <c r="A705" s="125"/>
      <c r="B705" s="174"/>
      <c r="D705" s="170"/>
    </row>
    <row r="706">
      <c r="A706" s="125"/>
      <c r="B706" s="174"/>
      <c r="D706" s="170"/>
    </row>
    <row r="707">
      <c r="A707" s="125"/>
      <c r="B707" s="174"/>
      <c r="D707" s="170"/>
    </row>
    <row r="708">
      <c r="A708" s="125"/>
      <c r="B708" s="174"/>
      <c r="D708" s="170"/>
    </row>
    <row r="709">
      <c r="A709" s="125"/>
      <c r="B709" s="174"/>
      <c r="D709" s="170"/>
    </row>
    <row r="710">
      <c r="A710" s="125"/>
      <c r="B710" s="174"/>
      <c r="D710" s="170"/>
    </row>
    <row r="711">
      <c r="A711" s="125"/>
      <c r="B711" s="174"/>
      <c r="D711" s="170"/>
    </row>
    <row r="712">
      <c r="A712" s="125"/>
      <c r="B712" s="174"/>
      <c r="D712" s="170"/>
    </row>
    <row r="713">
      <c r="A713" s="125"/>
      <c r="B713" s="174"/>
      <c r="D713" s="170"/>
    </row>
    <row r="714">
      <c r="A714" s="125"/>
      <c r="B714" s="174"/>
      <c r="D714" s="170"/>
    </row>
    <row r="715">
      <c r="A715" s="125"/>
      <c r="B715" s="174"/>
      <c r="D715" s="170"/>
    </row>
    <row r="716">
      <c r="A716" s="125"/>
      <c r="B716" s="174"/>
      <c r="D716" s="170"/>
    </row>
    <row r="717">
      <c r="A717" s="125"/>
      <c r="B717" s="174"/>
      <c r="D717" s="170"/>
    </row>
    <row r="718">
      <c r="A718" s="125"/>
      <c r="B718" s="174"/>
      <c r="D718" s="170"/>
    </row>
    <row r="719">
      <c r="A719" s="125"/>
      <c r="B719" s="174"/>
      <c r="D719" s="170"/>
    </row>
    <row r="720">
      <c r="A720" s="125"/>
      <c r="B720" s="174"/>
      <c r="D720" s="170"/>
    </row>
    <row r="721">
      <c r="A721" s="125"/>
      <c r="B721" s="174"/>
      <c r="D721" s="170"/>
    </row>
    <row r="722">
      <c r="A722" s="125"/>
      <c r="B722" s="174"/>
      <c r="D722" s="170"/>
    </row>
    <row r="723">
      <c r="A723" s="125"/>
      <c r="B723" s="174"/>
      <c r="D723" s="170"/>
    </row>
    <row r="724">
      <c r="A724" s="125"/>
      <c r="B724" s="174"/>
      <c r="D724" s="170"/>
    </row>
    <row r="725">
      <c r="A725" s="125"/>
      <c r="B725" s="174"/>
      <c r="D725" s="170"/>
    </row>
    <row r="726">
      <c r="A726" s="125"/>
      <c r="B726" s="174"/>
      <c r="D726" s="170"/>
    </row>
    <row r="727">
      <c r="A727" s="125"/>
      <c r="B727" s="174"/>
      <c r="D727" s="170"/>
    </row>
    <row r="728">
      <c r="A728" s="125"/>
      <c r="B728" s="174"/>
      <c r="D728" s="170"/>
    </row>
    <row r="729">
      <c r="A729" s="125"/>
      <c r="B729" s="174"/>
      <c r="D729" s="170"/>
    </row>
    <row r="730">
      <c r="A730" s="125"/>
      <c r="B730" s="174"/>
      <c r="D730" s="170"/>
    </row>
    <row r="731">
      <c r="A731" s="125"/>
      <c r="B731" s="174"/>
      <c r="D731" s="170"/>
    </row>
    <row r="732">
      <c r="A732" s="125"/>
      <c r="B732" s="174"/>
      <c r="D732" s="170"/>
    </row>
    <row r="733">
      <c r="A733" s="125"/>
      <c r="B733" s="174"/>
      <c r="D733" s="170"/>
    </row>
    <row r="734">
      <c r="A734" s="125"/>
      <c r="B734" s="174"/>
      <c r="D734" s="170"/>
    </row>
    <row r="735">
      <c r="A735" s="125"/>
      <c r="B735" s="174"/>
      <c r="D735" s="170"/>
    </row>
    <row r="736">
      <c r="A736" s="125"/>
      <c r="B736" s="174"/>
      <c r="D736" s="170"/>
    </row>
    <row r="737">
      <c r="A737" s="125"/>
      <c r="B737" s="174"/>
      <c r="D737" s="170"/>
    </row>
    <row r="738">
      <c r="A738" s="125"/>
      <c r="B738" s="174"/>
      <c r="D738" s="170"/>
    </row>
    <row r="739">
      <c r="A739" s="125"/>
      <c r="B739" s="174"/>
      <c r="D739" s="170"/>
    </row>
    <row r="740">
      <c r="A740" s="125"/>
      <c r="B740" s="174"/>
      <c r="D740" s="170"/>
    </row>
    <row r="741">
      <c r="A741" s="125"/>
      <c r="B741" s="174"/>
      <c r="D741" s="170"/>
    </row>
    <row r="742">
      <c r="A742" s="125"/>
      <c r="B742" s="174"/>
      <c r="D742" s="170"/>
    </row>
    <row r="743">
      <c r="A743" s="125"/>
      <c r="B743" s="174"/>
      <c r="D743" s="170"/>
    </row>
    <row r="744">
      <c r="A744" s="125"/>
      <c r="B744" s="174"/>
      <c r="D744" s="170"/>
    </row>
    <row r="745">
      <c r="A745" s="125"/>
      <c r="B745" s="174"/>
      <c r="D745" s="170"/>
    </row>
    <row r="746">
      <c r="A746" s="125"/>
      <c r="B746" s="174"/>
      <c r="D746" s="170"/>
    </row>
    <row r="747">
      <c r="A747" s="125"/>
      <c r="B747" s="174"/>
      <c r="D747" s="170"/>
    </row>
    <row r="748">
      <c r="A748" s="125"/>
      <c r="B748" s="174"/>
      <c r="D748" s="170"/>
    </row>
    <row r="749">
      <c r="A749" s="125"/>
      <c r="B749" s="174"/>
      <c r="D749" s="170"/>
    </row>
    <row r="750">
      <c r="A750" s="125"/>
      <c r="B750" s="174"/>
      <c r="D750" s="170"/>
    </row>
    <row r="751">
      <c r="A751" s="125"/>
      <c r="B751" s="174"/>
      <c r="D751" s="170"/>
    </row>
    <row r="752">
      <c r="A752" s="125"/>
      <c r="B752" s="174"/>
      <c r="D752" s="170"/>
    </row>
    <row r="753">
      <c r="A753" s="125"/>
      <c r="B753" s="174"/>
      <c r="D753" s="170"/>
    </row>
    <row r="754">
      <c r="A754" s="125"/>
      <c r="B754" s="174"/>
      <c r="D754" s="170"/>
    </row>
    <row r="755">
      <c r="A755" s="125"/>
      <c r="B755" s="174"/>
      <c r="D755" s="170"/>
    </row>
    <row r="756">
      <c r="A756" s="125"/>
      <c r="B756" s="174"/>
      <c r="D756" s="170"/>
    </row>
    <row r="757">
      <c r="A757" s="125"/>
      <c r="B757" s="174"/>
      <c r="D757" s="170"/>
    </row>
    <row r="758">
      <c r="A758" s="125"/>
      <c r="B758" s="174"/>
      <c r="D758" s="170"/>
    </row>
    <row r="759">
      <c r="A759" s="125"/>
      <c r="B759" s="174"/>
      <c r="D759" s="170"/>
    </row>
    <row r="760">
      <c r="A760" s="125"/>
      <c r="B760" s="174"/>
      <c r="D760" s="170"/>
    </row>
    <row r="761">
      <c r="A761" s="125"/>
      <c r="B761" s="174"/>
      <c r="D761" s="170"/>
    </row>
    <row r="762">
      <c r="A762" s="125"/>
      <c r="B762" s="174"/>
      <c r="D762" s="170"/>
    </row>
    <row r="763">
      <c r="A763" s="125"/>
      <c r="B763" s="174"/>
      <c r="D763" s="170"/>
    </row>
    <row r="764">
      <c r="A764" s="125"/>
      <c r="B764" s="174"/>
      <c r="D764" s="170"/>
    </row>
    <row r="765">
      <c r="A765" s="125"/>
      <c r="B765" s="174"/>
      <c r="D765" s="170"/>
    </row>
    <row r="766">
      <c r="A766" s="125"/>
      <c r="B766" s="174"/>
      <c r="D766" s="170"/>
    </row>
    <row r="767">
      <c r="A767" s="125"/>
      <c r="B767" s="174"/>
      <c r="D767" s="170"/>
    </row>
    <row r="768">
      <c r="A768" s="125"/>
      <c r="B768" s="174"/>
      <c r="D768" s="170"/>
    </row>
    <row r="769">
      <c r="A769" s="125"/>
      <c r="B769" s="174"/>
      <c r="D769" s="170"/>
    </row>
    <row r="770">
      <c r="A770" s="125"/>
      <c r="B770" s="174"/>
      <c r="D770" s="170"/>
    </row>
    <row r="771">
      <c r="A771" s="125"/>
      <c r="B771" s="174"/>
      <c r="D771" s="170"/>
    </row>
    <row r="772">
      <c r="A772" s="125"/>
      <c r="B772" s="174"/>
      <c r="D772" s="170"/>
    </row>
    <row r="773">
      <c r="A773" s="125"/>
      <c r="B773" s="174"/>
      <c r="D773" s="170"/>
    </row>
    <row r="774">
      <c r="A774" s="125"/>
      <c r="B774" s="174"/>
      <c r="D774" s="170"/>
    </row>
    <row r="775">
      <c r="A775" s="125"/>
      <c r="B775" s="174"/>
      <c r="D775" s="170"/>
    </row>
    <row r="776">
      <c r="A776" s="125"/>
      <c r="B776" s="174"/>
      <c r="D776" s="170"/>
    </row>
    <row r="777">
      <c r="A777" s="125"/>
      <c r="B777" s="174"/>
      <c r="D777" s="170"/>
    </row>
    <row r="778">
      <c r="A778" s="125"/>
      <c r="B778" s="174"/>
      <c r="D778" s="170"/>
    </row>
    <row r="779">
      <c r="A779" s="125"/>
      <c r="B779" s="174"/>
      <c r="D779" s="170"/>
    </row>
    <row r="780">
      <c r="A780" s="125"/>
      <c r="B780" s="174"/>
      <c r="D780" s="170"/>
    </row>
    <row r="781">
      <c r="A781" s="125"/>
      <c r="B781" s="174"/>
      <c r="D781" s="170"/>
    </row>
    <row r="782">
      <c r="A782" s="125"/>
      <c r="B782" s="174"/>
      <c r="D782" s="170"/>
    </row>
    <row r="783">
      <c r="A783" s="125"/>
      <c r="B783" s="174"/>
      <c r="D783" s="170"/>
    </row>
    <row r="784">
      <c r="A784" s="125"/>
      <c r="B784" s="174"/>
      <c r="D784" s="170"/>
    </row>
    <row r="785">
      <c r="A785" s="125"/>
      <c r="B785" s="174"/>
      <c r="D785" s="170"/>
    </row>
    <row r="786">
      <c r="A786" s="125"/>
      <c r="B786" s="174"/>
      <c r="D786" s="170"/>
    </row>
    <row r="787">
      <c r="A787" s="125"/>
      <c r="B787" s="174"/>
      <c r="D787" s="170"/>
    </row>
    <row r="788">
      <c r="A788" s="125"/>
      <c r="B788" s="174"/>
      <c r="D788" s="170"/>
    </row>
    <row r="789">
      <c r="A789" s="125"/>
      <c r="B789" s="174"/>
      <c r="D789" s="170"/>
    </row>
    <row r="790">
      <c r="A790" s="125"/>
      <c r="B790" s="174"/>
      <c r="D790" s="170"/>
    </row>
    <row r="791">
      <c r="A791" s="125"/>
      <c r="B791" s="174"/>
      <c r="D791" s="170"/>
    </row>
    <row r="792">
      <c r="A792" s="125"/>
      <c r="B792" s="174"/>
      <c r="D792" s="170"/>
    </row>
    <row r="793">
      <c r="A793" s="125"/>
      <c r="B793" s="174"/>
      <c r="D793" s="170"/>
    </row>
    <row r="794">
      <c r="A794" s="125"/>
      <c r="B794" s="174"/>
      <c r="D794" s="170"/>
    </row>
    <row r="795">
      <c r="A795" s="125"/>
      <c r="B795" s="174"/>
      <c r="D795" s="170"/>
    </row>
    <row r="796">
      <c r="A796" s="125"/>
      <c r="B796" s="174"/>
      <c r="D796" s="170"/>
    </row>
    <row r="797">
      <c r="A797" s="125"/>
      <c r="B797" s="174"/>
      <c r="D797" s="170"/>
    </row>
    <row r="798">
      <c r="A798" s="125"/>
      <c r="B798" s="174"/>
      <c r="D798" s="170"/>
    </row>
    <row r="799">
      <c r="A799" s="125"/>
      <c r="B799" s="174"/>
      <c r="D799" s="170"/>
    </row>
    <row r="800">
      <c r="A800" s="125"/>
      <c r="B800" s="174"/>
      <c r="D800" s="170"/>
    </row>
    <row r="801">
      <c r="A801" s="125"/>
      <c r="B801" s="174"/>
      <c r="D801" s="170"/>
    </row>
    <row r="802">
      <c r="A802" s="125"/>
      <c r="B802" s="174"/>
      <c r="D802" s="170"/>
    </row>
    <row r="803">
      <c r="A803" s="125"/>
      <c r="B803" s="174"/>
      <c r="D803" s="170"/>
    </row>
    <row r="804">
      <c r="A804" s="125"/>
      <c r="B804" s="174"/>
      <c r="D804" s="170"/>
    </row>
    <row r="805">
      <c r="A805" s="125"/>
      <c r="B805" s="174"/>
      <c r="D805" s="170"/>
    </row>
    <row r="806">
      <c r="A806" s="125"/>
      <c r="B806" s="174"/>
      <c r="D806" s="170"/>
    </row>
    <row r="807">
      <c r="A807" s="125"/>
      <c r="B807" s="174"/>
      <c r="D807" s="170"/>
    </row>
    <row r="808">
      <c r="A808" s="125"/>
      <c r="B808" s="174"/>
      <c r="D808" s="170"/>
    </row>
    <row r="809">
      <c r="A809" s="125"/>
      <c r="B809" s="174"/>
      <c r="D809" s="170"/>
    </row>
    <row r="810">
      <c r="A810" s="125"/>
      <c r="B810" s="174"/>
      <c r="D810" s="170"/>
    </row>
    <row r="811">
      <c r="A811" s="125"/>
      <c r="B811" s="174"/>
      <c r="D811" s="170"/>
    </row>
    <row r="812">
      <c r="A812" s="125"/>
      <c r="B812" s="174"/>
      <c r="D812" s="170"/>
    </row>
    <row r="813">
      <c r="A813" s="125"/>
      <c r="B813" s="174"/>
      <c r="D813" s="170"/>
    </row>
    <row r="814">
      <c r="A814" s="125"/>
      <c r="B814" s="174"/>
      <c r="D814" s="170"/>
    </row>
    <row r="815">
      <c r="A815" s="125"/>
      <c r="B815" s="174"/>
      <c r="D815" s="170"/>
    </row>
    <row r="816">
      <c r="A816" s="125"/>
      <c r="B816" s="174"/>
      <c r="D816" s="170"/>
    </row>
    <row r="817">
      <c r="A817" s="125"/>
      <c r="B817" s="174"/>
      <c r="D817" s="170"/>
    </row>
    <row r="818">
      <c r="A818" s="125"/>
      <c r="B818" s="174"/>
      <c r="D818" s="170"/>
    </row>
    <row r="819">
      <c r="A819" s="125"/>
      <c r="B819" s="174"/>
      <c r="D819" s="170"/>
    </row>
    <row r="820">
      <c r="A820" s="125"/>
      <c r="B820" s="174"/>
      <c r="D820" s="170"/>
    </row>
    <row r="821">
      <c r="A821" s="125"/>
      <c r="B821" s="174"/>
      <c r="D821" s="170"/>
    </row>
    <row r="822">
      <c r="A822" s="125"/>
      <c r="B822" s="174"/>
      <c r="D822" s="170"/>
    </row>
    <row r="823">
      <c r="A823" s="125"/>
      <c r="B823" s="174"/>
      <c r="D823" s="170"/>
    </row>
    <row r="824">
      <c r="A824" s="125"/>
      <c r="B824" s="174"/>
      <c r="D824" s="170"/>
    </row>
    <row r="825">
      <c r="A825" s="125"/>
      <c r="B825" s="174"/>
      <c r="D825" s="170"/>
    </row>
    <row r="826">
      <c r="A826" s="125"/>
      <c r="B826" s="174"/>
      <c r="D826" s="170"/>
    </row>
    <row r="827">
      <c r="A827" s="125"/>
      <c r="B827" s="174"/>
      <c r="D827" s="170"/>
    </row>
    <row r="828">
      <c r="A828" s="125"/>
      <c r="B828" s="174"/>
      <c r="D828" s="170"/>
    </row>
    <row r="829">
      <c r="A829" s="125"/>
      <c r="B829" s="174"/>
      <c r="D829" s="170"/>
    </row>
    <row r="830">
      <c r="A830" s="125"/>
      <c r="B830" s="174"/>
      <c r="D830" s="170"/>
    </row>
    <row r="831">
      <c r="A831" s="125"/>
      <c r="B831" s="174"/>
      <c r="D831" s="170"/>
    </row>
    <row r="832">
      <c r="A832" s="125"/>
      <c r="B832" s="174"/>
      <c r="D832" s="170"/>
    </row>
    <row r="833">
      <c r="A833" s="125"/>
      <c r="B833" s="174"/>
      <c r="D833" s="170"/>
    </row>
    <row r="834">
      <c r="A834" s="125"/>
      <c r="B834" s="174"/>
      <c r="D834" s="170"/>
    </row>
    <row r="835">
      <c r="A835" s="125"/>
      <c r="B835" s="174"/>
      <c r="D835" s="170"/>
    </row>
    <row r="836">
      <c r="A836" s="125"/>
      <c r="B836" s="174"/>
      <c r="D836" s="170"/>
    </row>
    <row r="837">
      <c r="A837" s="125"/>
      <c r="B837" s="174"/>
      <c r="D837" s="170"/>
    </row>
    <row r="838">
      <c r="A838" s="125"/>
      <c r="B838" s="174"/>
      <c r="D838" s="170"/>
    </row>
    <row r="839">
      <c r="A839" s="125"/>
      <c r="B839" s="174"/>
      <c r="D839" s="170"/>
    </row>
    <row r="840">
      <c r="A840" s="125"/>
      <c r="B840" s="174"/>
      <c r="D840" s="170"/>
    </row>
    <row r="841">
      <c r="A841" s="125"/>
      <c r="B841" s="174"/>
      <c r="D841" s="170"/>
    </row>
    <row r="842">
      <c r="A842" s="125"/>
      <c r="B842" s="174"/>
      <c r="D842" s="170"/>
    </row>
    <row r="843">
      <c r="A843" s="125"/>
      <c r="B843" s="174"/>
      <c r="D843" s="170"/>
    </row>
    <row r="844">
      <c r="A844" s="125"/>
      <c r="B844" s="174"/>
      <c r="D844" s="170"/>
    </row>
    <row r="845">
      <c r="A845" s="125"/>
      <c r="B845" s="174"/>
      <c r="D845" s="170"/>
    </row>
    <row r="846">
      <c r="A846" s="125"/>
      <c r="B846" s="174"/>
      <c r="D846" s="170"/>
    </row>
    <row r="847">
      <c r="A847" s="125"/>
      <c r="B847" s="174"/>
      <c r="D847" s="170"/>
    </row>
    <row r="848">
      <c r="A848" s="125"/>
      <c r="B848" s="174"/>
      <c r="D848" s="170"/>
    </row>
    <row r="849">
      <c r="A849" s="125"/>
      <c r="B849" s="174"/>
      <c r="D849" s="170"/>
    </row>
    <row r="850">
      <c r="A850" s="125"/>
      <c r="B850" s="174"/>
      <c r="D850" s="170"/>
    </row>
    <row r="851">
      <c r="A851" s="125"/>
      <c r="B851" s="174"/>
      <c r="D851" s="170"/>
    </row>
    <row r="852">
      <c r="A852" s="125"/>
      <c r="B852" s="174"/>
      <c r="D852" s="170"/>
    </row>
    <row r="853">
      <c r="A853" s="125"/>
      <c r="B853" s="174"/>
      <c r="D853" s="170"/>
    </row>
    <row r="854">
      <c r="A854" s="125"/>
      <c r="B854" s="174"/>
      <c r="D854" s="170"/>
    </row>
    <row r="855">
      <c r="A855" s="125"/>
      <c r="B855" s="174"/>
      <c r="D855" s="170"/>
    </row>
    <row r="856">
      <c r="A856" s="125"/>
      <c r="B856" s="174"/>
      <c r="D856" s="170"/>
    </row>
    <row r="857">
      <c r="A857" s="125"/>
      <c r="B857" s="174"/>
      <c r="D857" s="170"/>
    </row>
    <row r="858">
      <c r="A858" s="125"/>
      <c r="B858" s="174"/>
      <c r="D858" s="170"/>
    </row>
    <row r="859">
      <c r="A859" s="125"/>
      <c r="B859" s="174"/>
      <c r="D859" s="170"/>
    </row>
    <row r="860">
      <c r="A860" s="125"/>
      <c r="B860" s="174"/>
      <c r="D860" s="170"/>
    </row>
    <row r="861">
      <c r="A861" s="125"/>
      <c r="B861" s="174"/>
      <c r="D861" s="170"/>
    </row>
    <row r="862">
      <c r="A862" s="125"/>
      <c r="B862" s="174"/>
      <c r="D862" s="170"/>
    </row>
    <row r="863">
      <c r="A863" s="125"/>
      <c r="B863" s="174"/>
      <c r="D863" s="170"/>
    </row>
    <row r="864">
      <c r="A864" s="125"/>
      <c r="B864" s="174"/>
      <c r="D864" s="170"/>
    </row>
    <row r="865">
      <c r="A865" s="125"/>
      <c r="B865" s="174"/>
      <c r="D865" s="170"/>
    </row>
    <row r="866">
      <c r="A866" s="125"/>
      <c r="B866" s="174"/>
      <c r="D866" s="170"/>
    </row>
    <row r="867">
      <c r="A867" s="125"/>
      <c r="B867" s="174"/>
      <c r="D867" s="170"/>
    </row>
    <row r="868">
      <c r="A868" s="125"/>
      <c r="B868" s="174"/>
      <c r="D868" s="170"/>
    </row>
    <row r="869">
      <c r="A869" s="125"/>
      <c r="B869" s="174"/>
      <c r="D869" s="170"/>
    </row>
    <row r="870">
      <c r="A870" s="125"/>
      <c r="B870" s="174"/>
      <c r="D870" s="170"/>
    </row>
    <row r="871">
      <c r="A871" s="125"/>
      <c r="B871" s="174"/>
      <c r="D871" s="170"/>
    </row>
    <row r="872">
      <c r="A872" s="125"/>
      <c r="B872" s="174"/>
      <c r="D872" s="170"/>
    </row>
    <row r="873">
      <c r="A873" s="125"/>
      <c r="B873" s="174"/>
      <c r="D873" s="170"/>
    </row>
    <row r="874">
      <c r="A874" s="125"/>
      <c r="B874" s="174"/>
      <c r="D874" s="170"/>
    </row>
    <row r="875">
      <c r="A875" s="125"/>
      <c r="B875" s="174"/>
      <c r="D875" s="170"/>
    </row>
    <row r="876">
      <c r="A876" s="125"/>
      <c r="B876" s="174"/>
      <c r="D876" s="170"/>
    </row>
    <row r="877">
      <c r="A877" s="125"/>
      <c r="B877" s="174"/>
      <c r="D877" s="170"/>
    </row>
    <row r="878">
      <c r="A878" s="125"/>
      <c r="B878" s="174"/>
      <c r="D878" s="170"/>
    </row>
    <row r="879">
      <c r="A879" s="125"/>
      <c r="B879" s="174"/>
      <c r="D879" s="170"/>
    </row>
    <row r="880">
      <c r="A880" s="125"/>
      <c r="B880" s="174"/>
      <c r="D880" s="170"/>
    </row>
    <row r="881">
      <c r="A881" s="125"/>
      <c r="B881" s="174"/>
      <c r="D881" s="170"/>
    </row>
    <row r="882">
      <c r="A882" s="125"/>
      <c r="B882" s="174"/>
      <c r="D882" s="170"/>
    </row>
    <row r="883">
      <c r="A883" s="125"/>
      <c r="B883" s="174"/>
      <c r="D883" s="170"/>
    </row>
    <row r="884">
      <c r="A884" s="125"/>
      <c r="B884" s="174"/>
      <c r="D884" s="170"/>
    </row>
    <row r="885">
      <c r="A885" s="125"/>
      <c r="B885" s="174"/>
      <c r="D885" s="170"/>
    </row>
    <row r="886">
      <c r="A886" s="125"/>
      <c r="B886" s="174"/>
      <c r="D886" s="170"/>
    </row>
    <row r="887">
      <c r="A887" s="125"/>
      <c r="B887" s="174"/>
      <c r="D887" s="170"/>
    </row>
    <row r="888">
      <c r="A888" s="125"/>
      <c r="B888" s="174"/>
      <c r="D888" s="170"/>
    </row>
    <row r="889">
      <c r="A889" s="125"/>
      <c r="B889" s="174"/>
      <c r="D889" s="170"/>
    </row>
    <row r="890">
      <c r="A890" s="125"/>
      <c r="B890" s="174"/>
      <c r="D890" s="170"/>
    </row>
    <row r="891">
      <c r="A891" s="125"/>
      <c r="B891" s="174"/>
      <c r="D891" s="170"/>
    </row>
    <row r="892">
      <c r="A892" s="125"/>
      <c r="B892" s="174"/>
      <c r="D892" s="170"/>
    </row>
    <row r="893">
      <c r="A893" s="125"/>
      <c r="B893" s="174"/>
      <c r="D893" s="170"/>
    </row>
    <row r="894">
      <c r="A894" s="125"/>
      <c r="B894" s="174"/>
      <c r="D894" s="170"/>
    </row>
    <row r="895">
      <c r="A895" s="125"/>
      <c r="B895" s="174"/>
      <c r="D895" s="170"/>
    </row>
    <row r="896">
      <c r="A896" s="125"/>
      <c r="B896" s="174"/>
      <c r="D896" s="170"/>
    </row>
    <row r="897">
      <c r="A897" s="125"/>
      <c r="B897" s="174"/>
      <c r="D897" s="170"/>
    </row>
    <row r="898">
      <c r="A898" s="125"/>
      <c r="B898" s="174"/>
      <c r="D898" s="170"/>
    </row>
    <row r="899">
      <c r="A899" s="125"/>
      <c r="B899" s="174"/>
      <c r="D899" s="170"/>
    </row>
    <row r="900">
      <c r="A900" s="125"/>
      <c r="B900" s="174"/>
      <c r="D900" s="170"/>
    </row>
    <row r="901">
      <c r="A901" s="125"/>
      <c r="B901" s="174"/>
      <c r="D901" s="170"/>
    </row>
    <row r="902">
      <c r="A902" s="125"/>
      <c r="B902" s="174"/>
      <c r="D902" s="170"/>
    </row>
    <row r="903">
      <c r="A903" s="125"/>
      <c r="B903" s="174"/>
      <c r="D903" s="170"/>
    </row>
    <row r="904">
      <c r="A904" s="125"/>
      <c r="B904" s="174"/>
      <c r="D904" s="170"/>
    </row>
    <row r="905">
      <c r="A905" s="125"/>
      <c r="B905" s="174"/>
      <c r="D905" s="170"/>
    </row>
    <row r="906">
      <c r="A906" s="125"/>
      <c r="B906" s="174"/>
      <c r="D906" s="170"/>
    </row>
    <row r="907">
      <c r="A907" s="125"/>
      <c r="B907" s="174"/>
      <c r="D907" s="170"/>
    </row>
    <row r="908">
      <c r="A908" s="125"/>
      <c r="B908" s="174"/>
      <c r="D908" s="170"/>
    </row>
    <row r="909">
      <c r="A909" s="125"/>
      <c r="B909" s="174"/>
      <c r="D909" s="170"/>
    </row>
    <row r="910">
      <c r="A910" s="125"/>
      <c r="B910" s="174"/>
      <c r="D910" s="170"/>
    </row>
    <row r="911">
      <c r="A911" s="125"/>
      <c r="B911" s="174"/>
      <c r="D911" s="170"/>
    </row>
    <row r="912">
      <c r="A912" s="125"/>
      <c r="B912" s="174"/>
      <c r="D912" s="170"/>
    </row>
    <row r="913">
      <c r="A913" s="125"/>
      <c r="B913" s="174"/>
      <c r="D913" s="170"/>
    </row>
    <row r="914">
      <c r="A914" s="125"/>
      <c r="B914" s="174"/>
      <c r="D914" s="170"/>
    </row>
    <row r="915">
      <c r="A915" s="125"/>
      <c r="B915" s="174"/>
      <c r="D915" s="170"/>
    </row>
    <row r="916">
      <c r="A916" s="125"/>
      <c r="B916" s="174"/>
      <c r="D916" s="170"/>
    </row>
    <row r="917">
      <c r="A917" s="125"/>
      <c r="B917" s="174"/>
      <c r="D917" s="170"/>
    </row>
    <row r="918">
      <c r="A918" s="125"/>
      <c r="B918" s="174"/>
      <c r="D918" s="170"/>
    </row>
    <row r="919">
      <c r="A919" s="125"/>
      <c r="B919" s="174"/>
      <c r="D919" s="170"/>
    </row>
    <row r="920">
      <c r="A920" s="125"/>
      <c r="B920" s="174"/>
      <c r="D920" s="170"/>
    </row>
    <row r="921">
      <c r="A921" s="125"/>
      <c r="B921" s="174"/>
      <c r="D921" s="170"/>
    </row>
    <row r="922">
      <c r="A922" s="125"/>
      <c r="B922" s="174"/>
      <c r="D922" s="170"/>
    </row>
    <row r="923">
      <c r="A923" s="125"/>
      <c r="B923" s="174"/>
      <c r="D923" s="170"/>
    </row>
    <row r="924">
      <c r="A924" s="125"/>
      <c r="B924" s="174"/>
      <c r="D924" s="170"/>
    </row>
    <row r="925">
      <c r="A925" s="125"/>
      <c r="B925" s="174"/>
      <c r="D925" s="170"/>
    </row>
    <row r="926">
      <c r="A926" s="125"/>
      <c r="B926" s="174"/>
      <c r="D926" s="170"/>
    </row>
    <row r="927">
      <c r="A927" s="125"/>
      <c r="B927" s="174"/>
      <c r="D927" s="170"/>
    </row>
    <row r="928">
      <c r="A928" s="125"/>
      <c r="B928" s="174"/>
      <c r="D928" s="170"/>
    </row>
    <row r="929">
      <c r="A929" s="125"/>
      <c r="B929" s="174"/>
      <c r="D929" s="170"/>
    </row>
    <row r="930">
      <c r="A930" s="125"/>
      <c r="B930" s="174"/>
      <c r="D930" s="170"/>
    </row>
    <row r="931">
      <c r="A931" s="125"/>
      <c r="B931" s="174"/>
      <c r="D931" s="170"/>
    </row>
    <row r="932">
      <c r="A932" s="125"/>
      <c r="B932" s="174"/>
      <c r="D932" s="170"/>
    </row>
    <row r="933">
      <c r="A933" s="125"/>
      <c r="B933" s="174"/>
      <c r="D933" s="170"/>
    </row>
    <row r="934">
      <c r="A934" s="125"/>
      <c r="B934" s="174"/>
      <c r="D934" s="170"/>
    </row>
    <row r="935">
      <c r="A935" s="125"/>
      <c r="B935" s="174"/>
      <c r="D935" s="170"/>
    </row>
    <row r="936">
      <c r="A936" s="125"/>
      <c r="B936" s="174"/>
      <c r="D936" s="170"/>
    </row>
    <row r="937">
      <c r="A937" s="125"/>
      <c r="B937" s="174"/>
      <c r="D937" s="170"/>
    </row>
    <row r="938">
      <c r="A938" s="125"/>
      <c r="B938" s="174"/>
      <c r="D938" s="170"/>
    </row>
    <row r="939">
      <c r="A939" s="125"/>
      <c r="B939" s="174"/>
      <c r="D939" s="170"/>
    </row>
    <row r="940">
      <c r="A940" s="125"/>
      <c r="B940" s="174"/>
      <c r="D940" s="170"/>
    </row>
    <row r="941">
      <c r="A941" s="125"/>
      <c r="B941" s="174"/>
      <c r="D941" s="170"/>
    </row>
    <row r="942">
      <c r="A942" s="125"/>
      <c r="B942" s="174"/>
      <c r="D942" s="170"/>
    </row>
    <row r="943">
      <c r="A943" s="125"/>
      <c r="B943" s="174"/>
      <c r="D943" s="170"/>
    </row>
    <row r="944">
      <c r="A944" s="125"/>
      <c r="B944" s="174"/>
      <c r="D944" s="170"/>
    </row>
    <row r="945">
      <c r="A945" s="125"/>
      <c r="B945" s="174"/>
      <c r="D945" s="170"/>
    </row>
    <row r="946">
      <c r="A946" s="125"/>
      <c r="B946" s="174"/>
      <c r="D946" s="170"/>
    </row>
    <row r="947">
      <c r="A947" s="125"/>
      <c r="B947" s="174"/>
      <c r="D947" s="170"/>
    </row>
    <row r="948">
      <c r="A948" s="125"/>
      <c r="B948" s="174"/>
      <c r="D948" s="170"/>
    </row>
    <row r="949">
      <c r="A949" s="125"/>
      <c r="B949" s="174"/>
      <c r="D949" s="170"/>
    </row>
    <row r="950">
      <c r="A950" s="125"/>
      <c r="B950" s="174"/>
      <c r="D950" s="170"/>
    </row>
    <row r="951">
      <c r="A951" s="125"/>
      <c r="B951" s="174"/>
      <c r="D951" s="170"/>
    </row>
    <row r="952">
      <c r="A952" s="125"/>
      <c r="B952" s="174"/>
      <c r="D952" s="170"/>
    </row>
    <row r="953">
      <c r="A953" s="125"/>
      <c r="B953" s="174"/>
      <c r="D953" s="170"/>
    </row>
    <row r="954">
      <c r="A954" s="125"/>
      <c r="B954" s="174"/>
      <c r="D954" s="170"/>
    </row>
    <row r="955">
      <c r="A955" s="125"/>
      <c r="B955" s="174"/>
      <c r="D955" s="170"/>
    </row>
    <row r="956">
      <c r="A956" s="125"/>
      <c r="B956" s="174"/>
      <c r="D956" s="170"/>
    </row>
    <row r="957">
      <c r="A957" s="125"/>
      <c r="B957" s="174"/>
      <c r="D957" s="170"/>
    </row>
    <row r="958">
      <c r="A958" s="125"/>
      <c r="B958" s="174"/>
      <c r="D958" s="170"/>
    </row>
    <row r="959">
      <c r="A959" s="125"/>
      <c r="B959" s="174"/>
      <c r="D959" s="170"/>
    </row>
    <row r="960">
      <c r="A960" s="125"/>
      <c r="B960" s="174"/>
      <c r="D960" s="170"/>
    </row>
    <row r="961">
      <c r="A961" s="125"/>
      <c r="B961" s="174"/>
      <c r="D961" s="170"/>
    </row>
    <row r="962">
      <c r="A962" s="125"/>
      <c r="B962" s="174"/>
      <c r="D962" s="170"/>
    </row>
    <row r="963">
      <c r="A963" s="125"/>
      <c r="B963" s="174"/>
      <c r="D963" s="170"/>
    </row>
    <row r="964">
      <c r="A964" s="125"/>
      <c r="B964" s="174"/>
      <c r="D964" s="170"/>
    </row>
    <row r="965">
      <c r="A965" s="125"/>
      <c r="B965" s="174"/>
      <c r="D965" s="170"/>
    </row>
    <row r="966">
      <c r="A966" s="125"/>
      <c r="B966" s="174"/>
      <c r="D966" s="170"/>
    </row>
    <row r="967">
      <c r="A967" s="125"/>
      <c r="B967" s="174"/>
      <c r="D967" s="170"/>
    </row>
    <row r="968">
      <c r="A968" s="125"/>
      <c r="B968" s="174"/>
      <c r="D968" s="170"/>
    </row>
    <row r="969">
      <c r="A969" s="125"/>
      <c r="B969" s="174"/>
      <c r="D969" s="170"/>
    </row>
    <row r="970">
      <c r="A970" s="125"/>
      <c r="B970" s="174"/>
      <c r="D970" s="170"/>
    </row>
    <row r="971">
      <c r="A971" s="125"/>
      <c r="B971" s="174"/>
      <c r="D971" s="170"/>
    </row>
    <row r="972">
      <c r="A972" s="125"/>
      <c r="B972" s="174"/>
      <c r="D972" s="170"/>
    </row>
    <row r="973">
      <c r="A973" s="125"/>
      <c r="B973" s="174"/>
      <c r="D973" s="170"/>
    </row>
    <row r="974">
      <c r="A974" s="125"/>
      <c r="B974" s="174"/>
      <c r="D974" s="170"/>
    </row>
    <row r="975">
      <c r="A975" s="125"/>
      <c r="B975" s="174"/>
      <c r="D975" s="170"/>
    </row>
    <row r="976">
      <c r="A976" s="125"/>
      <c r="B976" s="174"/>
      <c r="D976" s="170"/>
    </row>
    <row r="977">
      <c r="A977" s="125"/>
      <c r="B977" s="174"/>
      <c r="D977" s="170"/>
    </row>
    <row r="978">
      <c r="A978" s="125"/>
      <c r="B978" s="174"/>
      <c r="D978" s="170"/>
    </row>
    <row r="979">
      <c r="A979" s="125"/>
      <c r="B979" s="174"/>
      <c r="D979" s="170"/>
    </row>
    <row r="980">
      <c r="A980" s="125"/>
      <c r="B980" s="174"/>
      <c r="D980" s="170"/>
    </row>
    <row r="981">
      <c r="A981" s="125"/>
      <c r="B981" s="174"/>
      <c r="D981" s="170"/>
    </row>
    <row r="982">
      <c r="A982" s="125"/>
      <c r="B982" s="174"/>
      <c r="D982" s="170"/>
    </row>
    <row r="983">
      <c r="A983" s="125"/>
      <c r="B983" s="174"/>
      <c r="D983" s="170"/>
    </row>
    <row r="984">
      <c r="A984" s="125"/>
      <c r="B984" s="174"/>
      <c r="D984" s="170"/>
    </row>
    <row r="985">
      <c r="A985" s="125"/>
      <c r="B985" s="174"/>
      <c r="D985" s="170"/>
    </row>
    <row r="986">
      <c r="A986" s="125"/>
      <c r="B986" s="174"/>
      <c r="D986" s="170"/>
    </row>
    <row r="987">
      <c r="A987" s="125"/>
      <c r="B987" s="174"/>
      <c r="D987" s="170"/>
    </row>
    <row r="988">
      <c r="A988" s="125"/>
      <c r="B988" s="174"/>
      <c r="D988" s="170"/>
    </row>
    <row r="989">
      <c r="A989" s="125"/>
      <c r="B989" s="174"/>
      <c r="D989" s="170"/>
    </row>
    <row r="990">
      <c r="A990" s="125"/>
      <c r="B990" s="174"/>
      <c r="D990" s="170"/>
    </row>
    <row r="991">
      <c r="A991" s="125"/>
      <c r="B991" s="174"/>
      <c r="D991" s="170"/>
    </row>
    <row r="992">
      <c r="A992" s="125"/>
      <c r="B992" s="174"/>
      <c r="D992" s="170"/>
    </row>
    <row r="993">
      <c r="A993" s="125"/>
      <c r="B993" s="174"/>
      <c r="D993" s="170"/>
    </row>
    <row r="994">
      <c r="A994" s="125"/>
      <c r="B994" s="174"/>
      <c r="D994" s="170"/>
    </row>
    <row r="995">
      <c r="A995" s="125"/>
      <c r="B995" s="174"/>
      <c r="D995" s="170"/>
    </row>
    <row r="996">
      <c r="A996" s="125"/>
      <c r="B996" s="174"/>
      <c r="D996" s="170"/>
    </row>
    <row r="997">
      <c r="A997" s="125"/>
      <c r="B997" s="174"/>
      <c r="D997" s="170"/>
    </row>
    <row r="998">
      <c r="A998" s="125"/>
      <c r="B998" s="174"/>
      <c r="D998" s="170"/>
    </row>
    <row r="999">
      <c r="A999" s="125"/>
      <c r="B999" s="174"/>
      <c r="D999" s="170"/>
    </row>
    <row r="1000">
      <c r="A1000" s="125"/>
      <c r="B1000" s="174"/>
      <c r="D1000" s="170"/>
    </row>
  </sheetData>
  <drawing r:id="rId1"/>
</worksheet>
</file>