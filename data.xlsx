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<sst xmlns="http://schemas.openxmlformats.org/spreadsheetml/2006/main" count="460" uniqueCount="350">
  <si>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</si>
  <si>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</si>
  <si>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</si>
  <si>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</si>
  <si>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</si>
  <si>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</si>
  <si>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</si>
  <si>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</si>
  <si>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</si>
  <si>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</si>
  <si>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</si>
  <si>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</si>
  <si>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Monthly Life Expenses</t>
  </si>
  <si>
    <t>Notes</t>
  </si>
  <si>
    <t>SMFG Personal
(Naresh)</t>
  </si>
  <si>
    <t>Month</t>
  </si>
  <si>
    <t>Gold Loan Tracker</t>
  </si>
  <si>
    <t>₹26,494</t>
  </si>
  <si>
    <t>Amount</t>
  </si>
  <si>
    <t>Personal</t>
  </si>
  <si>
    <t>Apr 2031</t>
  </si>
  <si>
    <t>Gram</t>
  </si>
  <si>
    <t>Interest in Bank</t>
  </si>
  <si>
    <t>Bank Name</t>
  </si>
  <si>
    <t>Account Holder</t>
  </si>
  <si>
    <t>TO Amma</t>
  </si>
  <si>
    <t>Loan Amount</t>
  </si>
  <si>
    <t>Date of Kept</t>
  </si>
  <si>
    <t>Interest to Pay</t>
  </si>
  <si>
    <t>20% rate – highest cost loan</t>
  </si>
  <si>
    <t>SBI Personal
(SivaPriya)</t>
  </si>
  <si>
    <t>Month-by-Month Payment View — May 2026 to Dec 2030</t>
  </si>
  <si>
    <t>Jan 2028</t>
  </si>
  <si>
    <t>CUB</t>
  </si>
  <si>
    <t>Siva Priya Loan</t>
  </si>
  <si>
    <t>Mani Mozhi</t>
  </si>
  <si>
    <t>21 EMIs left</t>
  </si>
  <si>
    <t>APPA</t>
  </si>
  <si>
    <t>Equitas Home
(Appa)</t>
  </si>
  <si>
    <t>AMMA</t>
  </si>
  <si>
    <t>Home Loan</t>
  </si>
  <si>
    <t>Dec 2030</t>
  </si>
  <si>
    <t>No prepayment penalty!</t>
  </si>
  <si>
    <t>Credit Card</t>
  </si>
  <si>
    <t>Green cell = loan closes this month  |  Amber row = multiple closures  |  Blue row = car window (Jun 2027)  |  Red free cash = deficit</t>
  </si>
  <si>
    <t>Oct 2026</t>
  </si>
  <si>
    <t>Krishnamoorthy</t>
  </si>
  <si>
    <t>Urgent – 36-48% interest!</t>
  </si>
  <si>
    <t>TVS Excel
(Appa)</t>
  </si>
  <si>
    <t>HOME EXPENSE</t>
  </si>
  <si>
    <t>SivaPriya</t>
  </si>
  <si>
    <t xml:space="preserve">GRINDER &amp; FAN </t>
  </si>
  <si>
    <t>Vehicle</t>
  </si>
  <si>
    <t>EMI FROM JULY 1740</t>
  </si>
  <si>
    <t>Jul 2027</t>
  </si>
  <si>
    <t>Income</t>
  </si>
  <si>
    <t>15 EMIs left</t>
  </si>
  <si>
    <t>Thandal</t>
  </si>
  <si>
    <t>DIO Loan</t>
  </si>
  <si>
    <t>Total EMI</t>
  </si>
  <si>
    <t>From Raghuls 6250                           2 June</t>
  </si>
  <si>
    <t>Expenses</t>
  </si>
  <si>
    <t>NareshKumar</t>
  </si>
  <si>
    <t>D Mart</t>
  </si>
  <si>
    <t>Free Cash</t>
  </si>
  <si>
    <t>Naresh gave 11,000.                     6/2/2026</t>
  </si>
  <si>
    <t xml:space="preserve">snacks </t>
  </si>
  <si>
    <t>Events</t>
  </si>
  <si>
    <t>Samasta 1</t>
  </si>
  <si>
    <t>Veera kattu potathu</t>
  </si>
  <si>
    <t xml:space="preserve">TVS </t>
  </si>
  <si>
    <t>Microfinance</t>
  </si>
  <si>
    <t>(4K from Raghuls&amp; 1k Naresh).  6/4/2026</t>
  </si>
  <si>
    <t>Mar 2027</t>
  </si>
  <si>
    <t xml:space="preserve">Home expense </t>
  </si>
  <si>
    <t xml:space="preserve">From Gold Loan.                                 5 June </t>
  </si>
  <si>
    <t>Veera Scooty EMI</t>
  </si>
  <si>
    <t>3rd Thu every month</t>
  </si>
  <si>
    <t>Samasta 2</t>
  </si>
  <si>
    <t xml:space="preserve">எண்ணெய் செட்டியார் </t>
  </si>
  <si>
    <t>Jul 2026</t>
  </si>
  <si>
    <t xml:space="preserve">Plumper </t>
  </si>
  <si>
    <t>Samasta 3</t>
  </si>
  <si>
    <t>Ends Jul 2026 – almost done!</t>
  </si>
  <si>
    <t xml:space="preserve">Sivapriya Tablet </t>
  </si>
  <si>
    <t>Samasta 4</t>
  </si>
  <si>
    <t xml:space="preserve">From Gold Loan.                                 6 June </t>
  </si>
  <si>
    <t>ESAF 1</t>
  </si>
  <si>
    <t xml:space="preserve">Veera Hospital Expenses </t>
  </si>
  <si>
    <t>ESAF 2</t>
  </si>
  <si>
    <t>Mar 2028</t>
  </si>
  <si>
    <t>ESAF 3</t>
  </si>
  <si>
    <t>Equitas Home loan</t>
  </si>
  <si>
    <t>Aasirvad 1</t>
  </si>
  <si>
    <t>Appa Amma Dress</t>
  </si>
  <si>
    <t>Aasirvad 1 2</t>
  </si>
  <si>
    <t>Apr 2028</t>
  </si>
  <si>
    <t>Other Loan</t>
  </si>
  <si>
    <t xml:space="preserve">Groceries </t>
  </si>
  <si>
    <t xml:space="preserve">From Gold Loan.                                 7 June </t>
  </si>
  <si>
    <t>EMI</t>
  </si>
  <si>
    <t>Muthu Chithapa</t>
  </si>
  <si>
    <t>Jun 2026</t>
  </si>
  <si>
    <t xml:space="preserve">Scooty service </t>
  </si>
  <si>
    <t xml:space="preserve">From Gold Loan.                                 8 June </t>
  </si>
  <si>
    <t>Veera Dress</t>
  </si>
  <si>
    <t>2nd Wed every month</t>
  </si>
  <si>
    <t>ESAF</t>
  </si>
  <si>
    <t xml:space="preserve">10,000 from Naresh </t>
  </si>
  <si>
    <t>Oct 2027</t>
  </si>
  <si>
    <t>Net Recharge</t>
  </si>
  <si>
    <t>Appa</t>
  </si>
  <si>
    <t>AMMA - Microloan</t>
  </si>
  <si>
    <t>Feb 2027</t>
  </si>
  <si>
    <t>Cylinder</t>
  </si>
  <si>
    <t>Other loan</t>
  </si>
  <si>
    <t>Movie</t>
  </si>
  <si>
    <t>Jun 2028</t>
  </si>
  <si>
    <t>Mat</t>
  </si>
  <si>
    <t>Aasirvad EMIs</t>
  </si>
  <si>
    <t>Gold coin -2 grams</t>
  </si>
  <si>
    <t xml:space="preserve">credit card.                                        25 June 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</si>
  <si>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</si>
  <si>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</si>
  <si>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</si>
  <si>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</si>
  <si>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</si>
  <si>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</si>
  <si>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</si>
  <si>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</si>
  <si>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</si>
  <si>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</si>
  <si>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</si>
  <si>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</si>
  <si>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</si>
  <si>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</si>
  <si>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</si>
  <si>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</si>
  <si>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</si>
  <si>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</si>
  <si>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</si>
  <si>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</si>
  <si>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</si>
  <si>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</si>
  <si>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</si>
  <si>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</si>
  <si>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</si>
  <si>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</si>
  <si>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</si>
  <si>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</si>
  <si>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</si>
  <si>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</si>
  <si>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</si>
  <si>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</si>
  <si>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</si>
  <si>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</si>
  <si>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</si>
  <si>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</si>
  <si>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</si>
  <si>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</si>
  <si>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</si>
  <si>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</si>
  <si>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</si>
  <si>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</si>
  <si>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</si>
  <si>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</si>
  <si>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</si>
  <si>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</si>
  <si>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</si>
  <si>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</si>
  <si>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</si>
  <si>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</si>
  <si>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</si>
  <si>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</si>
  <si>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</si>
  <si>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</si>
  <si>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</si>
  <si>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</si>
  <si>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</si>
  <si>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</si>
  <si>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</si>
  <si>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</si>
  <si>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</si>
  <si>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</si>
  <si>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</si>
  <si>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</si>
  <si>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</si>
  <si>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</si>
  <si>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</si>
  <si>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</si>
  <si>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Date</t>
  </si>
  <si>
    <t>Expense</t>
  </si>
  <si>
    <t>₹2,650/mo freed → redirect to Credit Card</t>
  </si>
  <si>
    <t>Amma</t>
  </si>
  <si>
    <t>ESAF 2 ends</t>
  </si>
  <si>
    <t xml:space="preserve">Credit card </t>
  </si>
  <si>
    <t>₹3,235/mo freed → total ₹5,885 extra</t>
  </si>
  <si>
    <t>Nov 2026</t>
  </si>
  <si>
    <t xml:space="preserve">veera Licence </t>
  </si>
  <si>
    <t>TVS + DIO end</t>
  </si>
  <si>
    <t>₹10,725/mo freed → total ₹16,610 extra</t>
  </si>
  <si>
    <t xml:space="preserve">Bank gold interest </t>
  </si>
  <si>
    <t>Jan 2027</t>
  </si>
  <si>
    <t>ESAF 1 ends</t>
  </si>
  <si>
    <t>₹5,390/mo freed → total ₹22,000 extra</t>
  </si>
  <si>
    <t xml:space="preserve">Mahesh </t>
  </si>
  <si>
    <t xml:space="preserve">Petrol </t>
  </si>
  <si>
    <t>SBI + Samasta 1 end</t>
  </si>
  <si>
    <t>₹15,000/mo freed → total ₹37,000 extra!</t>
  </si>
  <si>
    <t>Snacks</t>
  </si>
  <si>
    <t>Jun 2027</t>
  </si>
  <si>
    <t>Car purchase window</t>
  </si>
  <si>
    <t>Buy ₹12–15L car — EMI fits comfortably</t>
  </si>
  <si>
    <t>Thiliban</t>
  </si>
  <si>
    <t>ESAF 3 ends</t>
  </si>
  <si>
    <t>More microfinance cleared</t>
  </si>
  <si>
    <t>Gold stud</t>
  </si>
  <si>
    <t>Old gold(2grams)</t>
  </si>
  <si>
    <t>ESAF 2 + Samasta 1 cleared</t>
  </si>
  <si>
    <t>Almost all micro loans done</t>
  </si>
  <si>
    <t>Auto</t>
  </si>
  <si>
    <t xml:space="preserve">Total amount </t>
  </si>
  <si>
    <t>SBI fully closed</t>
  </si>
  <si>
    <t>Major milestone — only SMFG + Home remain</t>
  </si>
  <si>
    <t xml:space="preserve">Amma Tablet </t>
  </si>
  <si>
    <t>All microfinance cleared</t>
  </si>
  <si>
    <t>₹57K/mo free — only 2 loans left</t>
  </si>
  <si>
    <t>Jun 2029</t>
  </si>
  <si>
    <t>Loan name</t>
  </si>
  <si>
    <t>SMFG 0% foreclosure zone</t>
  </si>
  <si>
    <t>Name</t>
  </si>
  <si>
    <t>Last date</t>
  </si>
  <si>
    <t>Close SMFG loan with ZERO penalty!</t>
  </si>
  <si>
    <t>Samasta</t>
  </si>
  <si>
    <t>3rd Thurs of every month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</si>
  <si>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</si>
  <si>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</si>
  <si>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</si>
  <si>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</si>
  <si>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</si>
  <si>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</si>
  <si>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</si>
  <si>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</si>
  <si>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</si>
  <si>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Credit Card closes ✓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</si>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</sst>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14.0"/>
      <color theme="1"/>
      <name val="Montserrat"/>
    </font>
    <font>
      <b/>
      <sz val="9.0"/>
      <color rgb="FF000000"/>
      <name val="Arial"/>
    </font>
    <font>
      <b/>
      <color rgb="FFFFFFFF"/>
      <name val="Roboto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vertical="center"/>
    </xf>
    <xf borderId="5" fillId="4" fontId="7" numFmtId="49" xfId="0" applyAlignment="1" applyBorder="1" applyFill="1" applyFont="1" applyNumberFormat="1">
      <alignment horizontal="left" shrinkToFit="0" vertical="center" wrapText="1"/>
    </xf>
    <xf borderId="0" fillId="5" fontId="8" numFmtId="0" xfId="0" applyAlignment="1" applyFill="1" applyFont="1">
      <alignment horizontal="center" vertical="center"/>
    </xf>
    <xf borderId="5" fillId="4" fontId="9" numFmtId="165" xfId="0" applyAlignment="1" applyBorder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5" fillId="4" fontId="9" numFmtId="3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4" fontId="9" numFmtId="165" xfId="0" applyAlignment="1" applyBorder="1" applyFont="1" applyNumberFormat="1">
      <alignment horizontal="right" vertical="center"/>
    </xf>
    <xf borderId="0" fillId="0" fontId="4" numFmtId="167" xfId="0" applyAlignment="1" applyFont="1" applyNumberFormat="1">
      <alignment readingOrder="0"/>
    </xf>
    <xf borderId="5" fillId="4" fontId="9" numFmtId="49" xfId="0" applyAlignment="1" applyBorder="1" applyFont="1" applyNumberFormat="1">
      <alignment horizontal="left" vertical="center"/>
    </xf>
    <xf borderId="0" fillId="6" fontId="11" numFmtId="0" xfId="0" applyFill="1" applyFont="1"/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6" fillId="2" fontId="13" numFmtId="0" xfId="0" applyAlignment="1" applyBorder="1" applyFont="1">
      <alignment horizontal="center" vertical="center"/>
    </xf>
    <xf borderId="0" fillId="0" fontId="12" numFmtId="164" xfId="0" applyAlignment="1" applyFont="1" applyNumberFormat="1">
      <alignment readingOrder="0"/>
    </xf>
    <xf borderId="7" fillId="0" fontId="2" numFmtId="0" xfId="0" applyBorder="1" applyFont="1"/>
    <xf borderId="5" fillId="7" fontId="7" numFmtId="49" xfId="0" applyAlignment="1" applyBorder="1" applyFill="1" applyFont="1" applyNumberFormat="1">
      <alignment horizontal="left" shrinkToFit="0" vertical="center" wrapText="1"/>
    </xf>
    <xf borderId="0" fillId="0" fontId="12" numFmtId="169" xfId="0" applyAlignment="1" applyFont="1" applyNumberFormat="1">
      <alignment readingOrder="0"/>
    </xf>
    <xf borderId="5" fillId="7" fontId="9" numFmtId="165" xfId="0" applyAlignment="1" applyBorder="1" applyFont="1" applyNumberFormat="1">
      <alignment horizontal="right" vertical="center"/>
    </xf>
    <xf borderId="5" fillId="7" fontId="9" numFmtId="49" xfId="0" applyAlignment="1" applyBorder="1" applyFont="1" applyNumberFormat="1">
      <alignment horizontal="center" vertical="center"/>
    </xf>
    <xf borderId="0" fillId="8" fontId="14" numFmtId="0" xfId="0" applyAlignment="1" applyFill="1" applyFont="1">
      <alignment vertical="bottom"/>
    </xf>
    <xf borderId="0" fillId="8" fontId="14" numFmtId="167" xfId="0" applyAlignment="1" applyFont="1" applyNumberFormat="1">
      <alignment horizontal="right" readingOrder="0" vertical="bottom"/>
    </xf>
    <xf borderId="5" fillId="7" fontId="9" numFmtId="3" xfId="0" applyAlignment="1" applyBorder="1" applyFont="1" applyNumberFormat="1">
      <alignment horizontal="center" vertical="center"/>
    </xf>
    <xf borderId="0" fillId="8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8" fillId="0" fontId="2" numFmtId="0" xfId="0" applyBorder="1" applyFont="1"/>
    <xf borderId="5" fillId="7" fontId="9" numFmtId="49" xfId="0" applyAlignment="1" applyBorder="1" applyFont="1" applyNumberFormat="1">
      <alignment horizontal="left" vertical="center"/>
    </xf>
    <xf borderId="5" fillId="4" fontId="15" numFmtId="165" xfId="0" applyAlignment="1" applyBorder="1" applyFont="1" applyNumberFormat="1">
      <alignment horizontal="right" vertical="center"/>
    </xf>
    <xf borderId="6" fillId="9" fontId="5" numFmtId="0" xfId="0" applyAlignment="1" applyBorder="1" applyFill="1" applyFont="1">
      <alignment horizontal="center" vertical="center"/>
    </xf>
    <xf borderId="5" fillId="10" fontId="7" numFmtId="49" xfId="0" applyAlignment="1" applyBorder="1" applyFill="1" applyFont="1" applyNumberFormat="1">
      <alignment horizontal="left" shrinkToFit="0" vertical="center" wrapText="1"/>
    </xf>
    <xf borderId="5" fillId="10" fontId="9" numFmtId="165" xfId="0" applyAlignment="1" applyBorder="1" applyFont="1" applyNumberFormat="1">
      <alignment horizontal="right" vertical="center"/>
    </xf>
    <xf borderId="5" fillId="10" fontId="9" numFmtId="49" xfId="0" applyAlignment="1" applyBorder="1" applyFont="1" applyNumberFormat="1">
      <alignment horizontal="center" vertical="center"/>
    </xf>
    <xf borderId="0" fillId="0" fontId="12" numFmtId="10" xfId="0" applyFont="1" applyNumberFormat="1"/>
    <xf borderId="5" fillId="10" fontId="9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4" numFmtId="0" xfId="0" applyFont="1"/>
    <xf borderId="5" fillId="10" fontId="9" numFmtId="49" xfId="0" applyAlignment="1" applyBorder="1" applyFont="1" applyNumberFormat="1">
      <alignment horizontal="left" vertical="center"/>
    </xf>
    <xf borderId="0" fillId="0" fontId="12" numFmtId="0" xfId="0" applyFont="1"/>
    <xf borderId="0" fillId="0" fontId="12" numFmtId="164" xfId="0" applyFont="1" applyNumberFormat="1"/>
    <xf borderId="5" fillId="11" fontId="7" numFmtId="49" xfId="0" applyAlignment="1" applyBorder="1" applyFill="1" applyFont="1" applyNumberFormat="1">
      <alignment horizontal="left" vertical="center"/>
    </xf>
    <xf borderId="0" fillId="0" fontId="12" numFmtId="169" xfId="0" applyFont="1" applyNumberFormat="1"/>
    <xf borderId="5" fillId="11" fontId="9" numFmtId="165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ont="1" applyNumberFormat="1">
      <alignment horizontal="center" vertical="center"/>
    </xf>
    <xf borderId="5" fillId="11" fontId="9" numFmtId="3" xfId="0" applyAlignment="1" applyBorder="1" applyFont="1" applyNumberFormat="1">
      <alignment horizontal="center" vertical="center"/>
    </xf>
    <xf borderId="5" fillId="11" fontId="9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70" xfId="0" applyAlignment="1" applyBorder="1" applyFont="1" applyNumberFormat="1">
      <alignment readingOrder="0" shrinkToFit="0" vertical="center" wrapText="0"/>
    </xf>
    <xf borderId="5" fillId="11" fontId="7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right" readingOrder="0" vertical="center"/>
    </xf>
    <xf borderId="5" fillId="11" fontId="9" numFmtId="49" xfId="0" applyAlignment="1" applyBorder="1" applyFont="1" applyNumberFormat="1">
      <alignment horizontal="left" readingOrder="0" vertical="center"/>
    </xf>
    <xf borderId="0" fillId="0" fontId="4" numFmtId="167" xfId="0" applyFont="1" applyNumberFormat="1"/>
    <xf borderId="5" fillId="4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center" readingOrder="0" vertical="center"/>
    </xf>
    <xf borderId="5" fillId="11" fontId="9" numFmtId="3" xfId="0" applyAlignment="1" applyBorder="1" applyFont="1" applyNumberFormat="1">
      <alignment horizontal="center" readingOrder="0" vertical="center"/>
    </xf>
    <xf borderId="5" fillId="12" fontId="9" numFmtId="4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left" vertical="center"/>
    </xf>
    <xf borderId="5" fillId="11" fontId="9" numFmtId="165" xfId="0" applyAlignment="1" applyBorder="1" applyFont="1" applyNumberFormat="1">
      <alignment readingOrder="0" shrinkToFit="0" vertical="center" wrapText="0"/>
    </xf>
    <xf borderId="5" fillId="12" fontId="9" numFmtId="165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2" fontId="9" numFmtId="0" xfId="0" applyAlignment="1" applyBorder="1" applyFont="1">
      <alignment horizontal="center" vertical="center"/>
    </xf>
    <xf borderId="5" fillId="12" fontId="9" numFmtId="165" xfId="0" applyAlignment="1" applyBorder="1" applyFont="1" applyNumberFormat="1">
      <alignment horizontal="center" shrinkToFit="0" vertical="center" wrapText="0"/>
    </xf>
    <xf borderId="5" fillId="12" fontId="9" numFmtId="165" xfId="0" applyAlignment="1" applyBorder="1" applyFont="1" applyNumberFormat="1">
      <alignment readingOrder="0" shrinkToFit="0" vertical="center" wrapText="0"/>
    </xf>
    <xf borderId="6" fillId="4" fontId="9" numFmtId="0" xfId="0" applyAlignment="1" applyBorder="1" applyFont="1">
      <alignment horizontal="left" vertical="center"/>
    </xf>
    <xf borderId="9" fillId="0" fontId="2" numFmtId="0" xfId="0" applyBorder="1" applyFont="1"/>
    <xf borderId="6" fillId="7" fontId="9" numFmtId="0" xfId="0" applyAlignment="1" applyBorder="1" applyFont="1">
      <alignment horizontal="left" vertical="center"/>
    </xf>
    <xf borderId="6" fillId="10" fontId="9" numFmtId="0" xfId="0" applyAlignment="1" applyBorder="1" applyFont="1">
      <alignment horizontal="left" vertical="center"/>
    </xf>
    <xf borderId="6" fillId="11" fontId="9" numFmtId="0" xfId="0" applyAlignment="1" applyBorder="1" applyFont="1">
      <alignment horizontal="left" vertical="center"/>
    </xf>
    <xf borderId="5" fillId="11" fontId="7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shrinkToFit="0" vertical="center" wrapText="0"/>
    </xf>
    <xf borderId="5" fillId="11" fontId="9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7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7" numFmtId="0" xfId="0" applyAlignment="1" applyBorder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5" fontId="7" numFmtId="4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5" fontId="7" numFmtId="170" xfId="0" applyAlignment="1" applyBorder="1" applyFont="1" applyNumberFormat="1">
      <alignment readingOrder="0" shrinkToFit="0" vertical="center" wrapText="0"/>
    </xf>
    <xf borderId="5" fillId="15" fontId="18" numFmtId="170" xfId="0" applyAlignment="1" applyBorder="1" applyFont="1" applyNumberFormat="1">
      <alignment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shrinkToFit="0" vertical="center" wrapText="0"/>
    </xf>
    <xf borderId="5" fillId="15" fontId="9" numFmtId="165" xfId="0" applyAlignment="1" applyBorder="1" applyFont="1" applyNumberFormat="1">
      <alignment horizontal="center" shrinkToFit="0" vertical="center" wrapText="0"/>
    </xf>
    <xf borderId="6" fillId="2" fontId="19" numFmtId="0" xfId="0" applyAlignment="1" applyBorder="1" applyFont="1">
      <alignment horizontal="center" vertical="center"/>
    </xf>
    <xf borderId="5" fillId="9" fontId="5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5" fillId="15" fontId="9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6" fontId="7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6" fontId="9" numFmtId="0" xfId="0" applyAlignment="1" applyBorder="1" applyFont="1">
      <alignment horizontal="left" vertical="center"/>
    </xf>
    <xf borderId="5" fillId="17" fontId="7" numFmtId="0" xfId="0" applyAlignment="1" applyBorder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5" fillId="7" fontId="7" numFmtId="0" xfId="0" applyAlignment="1" applyBorder="1" applyFont="1">
      <alignment horizontal="center" vertical="center"/>
    </xf>
    <xf borderId="5" fillId="7" fontId="9" numFmtId="0" xfId="0" applyAlignment="1" applyBorder="1" applyFont="1">
      <alignment horizontal="left" vertical="center"/>
    </xf>
    <xf borderId="5" fillId="10" fontId="7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28" numFmtId="0" xfId="0" applyAlignment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5" fontId="9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7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5" fillId="12" fontId="9" numFmtId="170" xfId="0" applyAlignment="1" applyBorder="1" applyFont="1" applyNumberFormat="1">
      <alignment shrinkToFit="0" vertical="center" wrapText="0"/>
    </xf>
    <xf borderId="0" fillId="15" fontId="25" numFmtId="167" xfId="0" applyFont="1" applyNumberFormat="1"/>
    <xf borderId="0" fillId="15" fontId="25" numFmtId="164" xfId="0" applyFont="1" applyNumberForma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5" xfId="0" applyAlignment="1" applyBorder="1" applyFont="1" applyNumberFormat="1">
      <alignment shrinkToFit="0" vertical="center" wrapText="0"/>
    </xf>
    <xf borderId="5" fillId="14" fontId="22" numFmtId="165" xfId="0" applyAlignment="1" applyBorder="1" applyFont="1" applyNumberFormat="1">
      <alignment shrinkToFit="0" vertical="center" wrapText="0"/>
    </xf>
    <xf borderId="5" fillId="7" fontId="7" numFmtId="49" xfId="0" applyAlignment="1" applyBorder="1" applyFont="1" applyNumberFormat="1">
      <alignment shrinkToFit="0" vertical="center" wrapText="1"/>
    </xf>
    <xf borderId="5" fillId="7" fontId="7" numFmtId="170" xfId="0" applyAlignment="1" applyBorder="1" applyFont="1" applyNumberFormat="1">
      <alignment readingOrder="0" shrinkToFit="0" vertical="center" wrapText="1"/>
    </xf>
    <xf borderId="5" fillId="7" fontId="9" numFmtId="170" xfId="0" applyAlignment="1" applyBorder="1" applyFont="1" applyNumberFormat="1">
      <alignment shrinkToFit="0" vertical="center" wrapText="0"/>
    </xf>
    <xf borderId="5" fillId="7" fontId="21" numFmtId="170" xfId="0" applyAlignment="1" applyBorder="1" applyFont="1" applyNumberFormat="1">
      <alignment shrinkToFit="0" vertical="center" wrapText="0"/>
    </xf>
    <xf borderId="5" fillId="7" fontId="21" numFmtId="49" xfId="0" applyAlignment="1" applyBorder="1" applyFont="1" applyNumberFormat="1">
      <alignment shrinkToFit="0" vertical="center" wrapText="0"/>
    </xf>
    <xf borderId="5" fillId="7" fontId="9" numFmtId="165" xfId="0" applyAlignment="1" applyBorder="1" applyFont="1" applyNumberFormat="1">
      <alignment shrinkToFit="0" vertical="center" wrapText="0"/>
    </xf>
    <xf borderId="5" fillId="16" fontId="7" numFmtId="49" xfId="0" applyAlignment="1" applyBorder="1" applyFont="1" applyNumberFormat="1">
      <alignment shrinkToFit="0" vertical="center" wrapText="0"/>
    </xf>
    <xf borderId="5" fillId="16" fontId="7" numFmtId="170" xfId="0" applyAlignment="1" applyBorder="1" applyFont="1" applyNumberFormat="1">
      <alignment readingOrder="0" shrinkToFit="0" vertical="center" wrapText="0"/>
    </xf>
    <xf borderId="5" fillId="16" fontId="9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9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13</v>
      </c>
    </row>
    <row r="8" ht="21.75" customHeight="1">
      <c r="B8" s="13" t="s">
        <v>14</v>
      </c>
      <c r="C8" s="15" t="s">
        <v>17</v>
      </c>
      <c r="D8" s="17" t="s">
        <v>19</v>
      </c>
      <c r="E8" s="17" t="s">
        <v>20</v>
      </c>
      <c r="F8" s="20">
        <v>59.0</v>
      </c>
      <c r="G8" s="22">
        <v>1563146.0</v>
      </c>
      <c r="H8" s="24" t="s">
        <v>29</v>
      </c>
    </row>
    <row r="9" ht="21.75" customHeight="1">
      <c r="B9" s="13" t="s">
        <v>30</v>
      </c>
      <c r="C9" s="22">
        <v>11839.0</v>
      </c>
      <c r="D9" s="17" t="s">
        <v>19</v>
      </c>
      <c r="E9" s="17" t="s">
        <v>32</v>
      </c>
      <c r="F9" s="20">
        <v>20.0</v>
      </c>
      <c r="G9" s="22">
        <v>236780.0</v>
      </c>
      <c r="H9" s="24" t="s">
        <v>36</v>
      </c>
    </row>
    <row r="10" ht="21.75" customHeight="1">
      <c r="B10" s="32" t="s">
        <v>38</v>
      </c>
      <c r="C10" s="34">
        <v>15250.0</v>
      </c>
      <c r="D10" s="35" t="s">
        <v>40</v>
      </c>
      <c r="E10" s="35" t="s">
        <v>41</v>
      </c>
      <c r="F10" s="38">
        <v>55.0</v>
      </c>
      <c r="G10" s="34">
        <v>838750.0</v>
      </c>
      <c r="H10" s="42" t="s">
        <v>42</v>
      </c>
    </row>
    <row r="11" ht="21.75" customHeight="1">
      <c r="B11" s="13" t="s">
        <v>43</v>
      </c>
      <c r="C11" s="43">
        <v>18972.0</v>
      </c>
      <c r="D11" s="17" t="s">
        <v>43</v>
      </c>
      <c r="E11" s="17" t="s">
        <v>45</v>
      </c>
      <c r="F11" s="20">
        <v>5.0</v>
      </c>
      <c r="G11" s="22">
        <v>94860.0</v>
      </c>
      <c r="H11" s="24" t="s">
        <v>47</v>
      </c>
    </row>
    <row r="12" ht="21.75" customHeight="1">
      <c r="B12" s="45" t="s">
        <v>48</v>
      </c>
      <c r="C12" s="46">
        <v>5087.0</v>
      </c>
      <c r="D12" s="47" t="s">
        <v>52</v>
      </c>
      <c r="E12" s="47" t="s">
        <v>54</v>
      </c>
      <c r="F12" s="49">
        <v>14.0</v>
      </c>
      <c r="G12" s="46">
        <v>71218.0</v>
      </c>
      <c r="H12" s="52" t="s">
        <v>56</v>
      </c>
    </row>
    <row r="13" ht="21.75" customHeight="1">
      <c r="B13" s="45" t="s">
        <v>58</v>
      </c>
      <c r="C13" s="46">
        <v>5638.0</v>
      </c>
      <c r="D13" s="47" t="s">
        <v>52</v>
      </c>
      <c r="E13" s="47" t="s">
        <v>54</v>
      </c>
      <c r="F13" s="49">
        <v>14.0</v>
      </c>
      <c r="G13" s="46">
        <v>78932.0</v>
      </c>
      <c r="H13" s="52" t="s">
        <v>56</v>
      </c>
    </row>
    <row r="14" ht="21.75" customHeight="1">
      <c r="B14" s="55" t="s">
        <v>68</v>
      </c>
      <c r="C14" s="57">
        <v>3150.0</v>
      </c>
      <c r="D14" s="59" t="s">
        <v>71</v>
      </c>
      <c r="E14" s="59" t="s">
        <v>73</v>
      </c>
      <c r="F14" s="60">
        <v>10.0</v>
      </c>
      <c r="G14" s="57">
        <v>31500.0</v>
      </c>
      <c r="H14" s="61" t="s">
        <v>77</v>
      </c>
    </row>
    <row r="15" ht="21.75" customHeight="1">
      <c r="B15" s="55" t="s">
        <v>78</v>
      </c>
      <c r="C15" s="57">
        <v>2650.0</v>
      </c>
      <c r="D15" s="59" t="s">
        <v>71</v>
      </c>
      <c r="E15" s="59" t="s">
        <v>80</v>
      </c>
      <c r="F15" s="60">
        <v>2.0</v>
      </c>
      <c r="G15" s="57">
        <v>5300.0</v>
      </c>
      <c r="H15" s="61" t="s">
        <v>83</v>
      </c>
    </row>
    <row r="16" ht="21.75" customHeight="1">
      <c r="B16" s="55" t="s">
        <v>82</v>
      </c>
      <c r="C16" s="57">
        <v>2600.0</v>
      </c>
      <c r="D16" s="59" t="s">
        <v>71</v>
      </c>
      <c r="E16" s="59" t="s">
        <v>90</v>
      </c>
      <c r="F16" s="60">
        <v>22.0</v>
      </c>
      <c r="G16" s="57">
        <v>57200.0</v>
      </c>
      <c r="H16" s="61" t="s">
        <v>77</v>
      </c>
    </row>
    <row r="17" ht="21.75" customHeight="1">
      <c r="B17" s="55" t="s">
        <v>85</v>
      </c>
      <c r="C17" s="57">
        <v>2680.0</v>
      </c>
      <c r="D17" s="59" t="s">
        <v>71</v>
      </c>
      <c r="E17" s="59" t="s">
        <v>96</v>
      </c>
      <c r="F17" s="60">
        <v>23.0</v>
      </c>
      <c r="G17" s="57">
        <v>61640.0</v>
      </c>
      <c r="H17" s="61" t="s">
        <v>77</v>
      </c>
    </row>
    <row r="18" ht="21.75" customHeight="1">
      <c r="B18" s="55" t="s">
        <v>87</v>
      </c>
      <c r="C18" s="57">
        <v>5390.0</v>
      </c>
      <c r="D18" s="59" t="s">
        <v>71</v>
      </c>
      <c r="E18" s="59" t="s">
        <v>32</v>
      </c>
      <c r="F18" s="60">
        <v>20.0</v>
      </c>
      <c r="G18" s="57">
        <v>107800.0</v>
      </c>
      <c r="H18" s="61" t="s">
        <v>106</v>
      </c>
    </row>
    <row r="19" ht="21.75" customHeight="1">
      <c r="B19" s="55" t="s">
        <v>89</v>
      </c>
      <c r="C19" s="57">
        <v>3235.0</v>
      </c>
      <c r="D19" s="59" t="s">
        <v>71</v>
      </c>
      <c r="E19" s="59" t="s">
        <v>109</v>
      </c>
      <c r="F19" s="60">
        <v>17.0</v>
      </c>
      <c r="G19" s="57">
        <v>54995.0</v>
      </c>
      <c r="H19" s="61" t="s">
        <v>106</v>
      </c>
    </row>
    <row r="20" ht="21.75" customHeight="1">
      <c r="B20" s="55" t="s">
        <v>91</v>
      </c>
      <c r="C20" s="57">
        <v>1230.0</v>
      </c>
      <c r="D20" s="59" t="s">
        <v>71</v>
      </c>
      <c r="E20" s="59" t="s">
        <v>113</v>
      </c>
      <c r="F20" s="60">
        <v>9.0</v>
      </c>
      <c r="G20" s="57">
        <v>11070.0</v>
      </c>
      <c r="H20" s="61" t="s">
        <v>106</v>
      </c>
    </row>
    <row r="21" ht="21.75" customHeight="1">
      <c r="B21" s="65" t="s">
        <v>93</v>
      </c>
      <c r="C21" s="67">
        <v>2970.0</v>
      </c>
      <c r="D21" s="59" t="s">
        <v>71</v>
      </c>
      <c r="E21" s="59" t="s">
        <v>117</v>
      </c>
      <c r="F21" s="60">
        <v>25.0</v>
      </c>
      <c r="G21" s="57">
        <v>148000.0</v>
      </c>
      <c r="H21" s="68" t="s">
        <v>119</v>
      </c>
    </row>
    <row r="22" ht="21.75" customHeight="1">
      <c r="B22" s="65" t="s">
        <v>122</v>
      </c>
      <c r="C22" s="67">
        <v>2970.0</v>
      </c>
      <c r="D22" s="59" t="s">
        <v>71</v>
      </c>
      <c r="E22" s="59" t="s">
        <v>117</v>
      </c>
      <c r="F22" s="60">
        <v>25.0</v>
      </c>
      <c r="G22" s="57">
        <v>148000.0</v>
      </c>
      <c r="H22" s="68" t="s">
        <v>119</v>
      </c>
    </row>
    <row r="23" ht="21.75" customHeight="1">
      <c r="B23" s="55" t="s">
        <v>97</v>
      </c>
      <c r="C23" s="57">
        <v>5000.0</v>
      </c>
      <c r="D23" s="59" t="s">
        <v>71</v>
      </c>
      <c r="E23" s="59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5" t="s">
        <v>125</v>
      </c>
      <c r="C24" s="67">
        <v>1740.0</v>
      </c>
      <c r="D24" s="71" t="s">
        <v>125</v>
      </c>
      <c r="E24" s="71" t="s">
        <v>126</v>
      </c>
      <c r="F24" s="72">
        <v>6.0</v>
      </c>
      <c r="G24" s="67">
        <v>12590.0</v>
      </c>
      <c r="H24" s="68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44" t="s">
        <v>130</v>
      </c>
      <c r="C28" s="31"/>
      <c r="D28" s="31"/>
      <c r="E28" s="31"/>
      <c r="F28" s="31"/>
      <c r="G28" s="31"/>
      <c r="H28" s="41"/>
    </row>
    <row r="29" ht="15.75" customHeight="1">
      <c r="B29" s="81" t="s">
        <v>131</v>
      </c>
      <c r="C29" s="31"/>
      <c r="D29" s="31"/>
      <c r="E29" s="31"/>
      <c r="F29" s="31"/>
      <c r="G29" s="31"/>
      <c r="H29" s="82"/>
    </row>
    <row r="30" ht="15.75" customHeight="1">
      <c r="B30" s="81" t="s">
        <v>132</v>
      </c>
      <c r="C30" s="31"/>
      <c r="D30" s="31"/>
      <c r="E30" s="31"/>
      <c r="F30" s="31"/>
      <c r="G30" s="31"/>
      <c r="H30" s="82"/>
    </row>
    <row r="31" ht="15.75" customHeight="1">
      <c r="B31" s="83" t="s">
        <v>133</v>
      </c>
      <c r="C31" s="31"/>
      <c r="D31" s="31"/>
      <c r="E31" s="31"/>
      <c r="F31" s="31"/>
      <c r="G31" s="31"/>
      <c r="H31" s="82"/>
    </row>
    <row r="32" ht="15.75" customHeight="1">
      <c r="B32" s="84" t="s">
        <v>134</v>
      </c>
      <c r="C32" s="31"/>
      <c r="D32" s="31"/>
      <c r="E32" s="31"/>
      <c r="F32" s="31"/>
      <c r="G32" s="31"/>
      <c r="H32" s="82"/>
    </row>
    <row r="33" ht="15.75" customHeight="1">
      <c r="B33" s="85" t="s">
        <v>135</v>
      </c>
      <c r="C33" s="31"/>
      <c r="D33" s="31"/>
      <c r="E33" s="31"/>
      <c r="F33" s="31"/>
      <c r="G33" s="31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31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41"/>
    </row>
    <row r="2" ht="15.75" customHeight="1">
      <c r="B2" s="44" t="s">
        <v>44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41"/>
    </row>
    <row r="3" ht="7.5" customHeight="1"/>
    <row r="4" ht="36.0" customHeight="1">
      <c r="B4" s="50" t="s">
        <v>15</v>
      </c>
      <c r="C4" s="50" t="s">
        <v>55</v>
      </c>
      <c r="D4" s="50" t="s">
        <v>59</v>
      </c>
      <c r="E4" s="50" t="s">
        <v>61</v>
      </c>
      <c r="F4" s="50" t="s">
        <v>64</v>
      </c>
      <c r="G4" s="50" t="s">
        <v>67</v>
      </c>
      <c r="H4" s="58" t="s">
        <v>14</v>
      </c>
      <c r="I4" s="58" t="s">
        <v>30</v>
      </c>
      <c r="J4" s="58" t="s">
        <v>38</v>
      </c>
      <c r="K4" s="58" t="s">
        <v>43</v>
      </c>
      <c r="L4" s="58" t="s">
        <v>48</v>
      </c>
      <c r="M4" s="58" t="s">
        <v>58</v>
      </c>
      <c r="N4" s="58" t="s">
        <v>68</v>
      </c>
      <c r="O4" s="58" t="s">
        <v>78</v>
      </c>
      <c r="P4" s="58" t="s">
        <v>82</v>
      </c>
      <c r="Q4" s="58" t="s">
        <v>85</v>
      </c>
      <c r="R4" s="58" t="s">
        <v>87</v>
      </c>
      <c r="S4" s="58" t="s">
        <v>89</v>
      </c>
      <c r="T4" s="58" t="s">
        <v>91</v>
      </c>
      <c r="U4" s="62" t="s">
        <v>93</v>
      </c>
      <c r="V4" s="62" t="s">
        <v>95</v>
      </c>
      <c r="W4" s="58" t="s">
        <v>97</v>
      </c>
      <c r="X4" s="58" t="s">
        <v>100</v>
      </c>
    </row>
    <row r="5" ht="22.5" customHeight="1">
      <c r="B5" s="63" t="s">
        <v>102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80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101" t="s">
        <v>155</v>
      </c>
      <c r="C8" s="104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4">
        <v>18972.0</v>
      </c>
      <c r="L8" s="80">
        <v>4500.0</v>
      </c>
      <c r="M8" s="80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5">
        <v>1740.0</v>
      </c>
    </row>
    <row r="9" ht="22.5" customHeight="1">
      <c r="B9" s="86" t="s">
        <v>45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244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01" t="s">
        <v>197</v>
      </c>
      <c r="C10" s="104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80">
        <v>4500.0</v>
      </c>
      <c r="M10" s="80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5">
        <v>1740.0</v>
      </c>
    </row>
    <row r="11" ht="22.5" customHeight="1">
      <c r="B11" s="63" t="s">
        <v>275</v>
      </c>
      <c r="C11" s="92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4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101" t="s">
        <v>202</v>
      </c>
      <c r="C12" s="104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80">
        <v>4500.0</v>
      </c>
      <c r="M12" s="80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113</v>
      </c>
      <c r="C13" s="6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73</v>
      </c>
      <c r="C14" s="6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7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305</v>
      </c>
      <c r="C15" s="92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4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78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78"/>
      <c r="U15" s="76">
        <v>5920.0</v>
      </c>
      <c r="V15" s="76">
        <v>5920.0</v>
      </c>
      <c r="W15" s="76">
        <v>5000.0</v>
      </c>
      <c r="X15" s="113"/>
    </row>
    <row r="16" ht="22.5" customHeight="1">
      <c r="B16" s="101" t="s">
        <v>306</v>
      </c>
      <c r="C16" s="104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80">
        <v>4500.0</v>
      </c>
      <c r="M16" s="80">
        <v>5000.0</v>
      </c>
      <c r="N16" s="178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8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79" t="s">
        <v>210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80">
        <v>4500.0</v>
      </c>
      <c r="M17" s="80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13"/>
    </row>
    <row r="18" ht="22.5" customHeight="1">
      <c r="B18" s="185" t="s">
        <v>54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80">
        <v>4500.0</v>
      </c>
      <c r="M18" s="80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13"/>
    </row>
    <row r="19" ht="22.5" customHeight="1">
      <c r="B19" s="63" t="s">
        <v>309</v>
      </c>
      <c r="C19" s="92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4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3"/>
      <c r="L19" s="178"/>
      <c r="M19" s="178"/>
      <c r="N19" s="178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78"/>
      <c r="U19" s="76">
        <v>5920.0</v>
      </c>
      <c r="V19" s="76">
        <v>5920.0</v>
      </c>
      <c r="W19" s="76">
        <v>5000.0</v>
      </c>
      <c r="X19" s="113"/>
    </row>
    <row r="20" ht="15.75" customHeight="1">
      <c r="B20" s="101" t="s">
        <v>310</v>
      </c>
      <c r="C20" s="104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78"/>
      <c r="M20" s="178"/>
      <c r="N20" s="178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8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109</v>
      </c>
      <c r="C21" s="6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101" t="s">
        <v>312</v>
      </c>
      <c r="C22" s="104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78"/>
      <c r="M22" s="178"/>
      <c r="N22" s="178"/>
      <c r="O22" s="93"/>
      <c r="P22" s="113">
        <v>2600.0</v>
      </c>
      <c r="Q22" s="113">
        <v>2680.0</v>
      </c>
      <c r="R22" s="113">
        <v>5390.0</v>
      </c>
      <c r="S22" s="178"/>
      <c r="T22" s="178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313</v>
      </c>
      <c r="C23" s="92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4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3"/>
      <c r="L23" s="178"/>
      <c r="M23" s="178"/>
      <c r="N23" s="178"/>
      <c r="O23" s="93"/>
      <c r="P23" s="76">
        <v>2600.0</v>
      </c>
      <c r="Q23" s="76">
        <v>2680.0</v>
      </c>
      <c r="R23" s="76">
        <v>5390.0</v>
      </c>
      <c r="S23" s="178"/>
      <c r="T23" s="178"/>
      <c r="U23" s="76">
        <v>5920.0</v>
      </c>
      <c r="V23" s="76">
        <v>5920.0</v>
      </c>
      <c r="W23" s="76">
        <v>5000.0</v>
      </c>
      <c r="X23" s="113"/>
    </row>
    <row r="24" ht="15.75" customHeight="1">
      <c r="B24" s="185" t="s">
        <v>32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13"/>
    </row>
    <row r="25" ht="15.75" customHeight="1">
      <c r="B25" s="63" t="s">
        <v>315</v>
      </c>
      <c r="C25" s="92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4">
        <f t="shared" si="2"/>
        <v>46136</v>
      </c>
      <c r="G25" s="73"/>
      <c r="H25" s="76">
        <v>26494.0</v>
      </c>
      <c r="I25" s="178"/>
      <c r="J25" s="76">
        <v>15250.0</v>
      </c>
      <c r="K25" s="93"/>
      <c r="L25" s="178"/>
      <c r="M25" s="178"/>
      <c r="N25" s="178"/>
      <c r="O25" s="93"/>
      <c r="P25" s="76">
        <v>2600.0</v>
      </c>
      <c r="Q25" s="76">
        <v>2680.0</v>
      </c>
      <c r="R25" s="178"/>
      <c r="S25" s="178"/>
      <c r="T25" s="178"/>
      <c r="U25" s="76">
        <v>5920.0</v>
      </c>
      <c r="V25" s="76">
        <v>5920.0</v>
      </c>
      <c r="W25" s="76">
        <v>5000.0</v>
      </c>
      <c r="X25" s="113"/>
    </row>
    <row r="26" ht="15.75" customHeight="1">
      <c r="B26" s="86" t="s">
        <v>90</v>
      </c>
      <c r="C26" s="6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96</v>
      </c>
      <c r="C27" s="6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101" t="s">
        <v>318</v>
      </c>
      <c r="C28" s="104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2"/>
      <c r="H28" s="113">
        <v>26494.0</v>
      </c>
      <c r="I28" s="178"/>
      <c r="J28" s="113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117</v>
      </c>
      <c r="C29" s="6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13"/>
    </row>
    <row r="30" ht="15.75" customHeight="1">
      <c r="B30" s="101" t="s">
        <v>320</v>
      </c>
      <c r="C30" s="104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2"/>
      <c r="H30" s="113">
        <v>26494.0</v>
      </c>
      <c r="I30" s="178"/>
      <c r="J30" s="113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13">
        <v>5000.0</v>
      </c>
      <c r="X30" s="113"/>
    </row>
    <row r="31" ht="15.75" customHeight="1">
      <c r="B31" s="63" t="s">
        <v>321</v>
      </c>
      <c r="C31" s="92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4">
        <f t="shared" si="2"/>
        <v>63256</v>
      </c>
      <c r="G31" s="73"/>
      <c r="H31" s="76">
        <v>26494.0</v>
      </c>
      <c r="I31" s="178"/>
      <c r="J31" s="76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76">
        <v>5000.0</v>
      </c>
      <c r="X31" s="113"/>
    </row>
    <row r="32" ht="15.75" customHeight="1">
      <c r="B32" s="101" t="s">
        <v>322</v>
      </c>
      <c r="C32" s="104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2"/>
      <c r="H32" s="113">
        <v>26494.0</v>
      </c>
      <c r="I32" s="178"/>
      <c r="J32" s="113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13">
        <v>5000.0</v>
      </c>
      <c r="X32" s="113"/>
    </row>
    <row r="33" ht="15.75" customHeight="1">
      <c r="B33" s="63" t="s">
        <v>323</v>
      </c>
      <c r="C33" s="92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4">
        <f t="shared" si="2"/>
        <v>63256</v>
      </c>
      <c r="G33" s="73"/>
      <c r="H33" s="76">
        <v>26494.0</v>
      </c>
      <c r="I33" s="178"/>
      <c r="J33" s="76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76">
        <v>5000.0</v>
      </c>
      <c r="X33" s="113"/>
    </row>
    <row r="34" ht="15.75" customHeight="1">
      <c r="B34" s="101" t="s">
        <v>324</v>
      </c>
      <c r="C34" s="104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2"/>
      <c r="H34" s="113">
        <v>26494.0</v>
      </c>
      <c r="I34" s="178"/>
      <c r="J34" s="113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13">
        <v>5000.0</v>
      </c>
      <c r="X34" s="113"/>
    </row>
    <row r="35" ht="15.75" customHeight="1">
      <c r="B35" s="86" t="s">
        <v>123</v>
      </c>
      <c r="C35" s="6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13"/>
    </row>
    <row r="36" ht="15.75" customHeight="1">
      <c r="B36" s="101" t="s">
        <v>326</v>
      </c>
      <c r="C36" s="104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2"/>
      <c r="H36" s="113">
        <v>26494.0</v>
      </c>
      <c r="I36" s="178"/>
      <c r="J36" s="113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2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4">
        <f t="shared" si="2"/>
        <v>68256</v>
      </c>
      <c r="G37" s="73"/>
      <c r="H37" s="76">
        <v>26494.0</v>
      </c>
      <c r="I37" s="178"/>
      <c r="J37" s="76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01" t="s">
        <v>328</v>
      </c>
      <c r="C38" s="104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2"/>
      <c r="H38" s="113">
        <v>26494.0</v>
      </c>
      <c r="I38" s="178"/>
      <c r="J38" s="113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2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4">
        <f t="shared" si="2"/>
        <v>68256</v>
      </c>
      <c r="G39" s="73"/>
      <c r="H39" s="76">
        <v>26494.0</v>
      </c>
      <c r="I39" s="178"/>
      <c r="J39" s="76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01" t="s">
        <v>330</v>
      </c>
      <c r="C40" s="104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2"/>
      <c r="H40" s="113">
        <v>26494.0</v>
      </c>
      <c r="I40" s="178"/>
      <c r="J40" s="113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227</v>
      </c>
      <c r="C41" s="92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4">
        <f t="shared" si="2"/>
        <v>68256</v>
      </c>
      <c r="G41" s="191" t="s">
        <v>331</v>
      </c>
      <c r="H41" s="76">
        <v>26494.0</v>
      </c>
      <c r="I41" s="178"/>
      <c r="J41" s="76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01" t="s">
        <v>332</v>
      </c>
      <c r="C42" s="104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2"/>
      <c r="H42" s="113">
        <v>26494.0</v>
      </c>
      <c r="I42" s="178"/>
      <c r="J42" s="113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2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4">
        <f t="shared" si="2"/>
        <v>68256</v>
      </c>
      <c r="G43" s="73"/>
      <c r="H43" s="76">
        <v>26494.0</v>
      </c>
      <c r="I43" s="178"/>
      <c r="J43" s="76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01" t="s">
        <v>334</v>
      </c>
      <c r="C44" s="104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2"/>
      <c r="H44" s="113">
        <v>26494.0</v>
      </c>
      <c r="I44" s="178"/>
      <c r="J44" s="113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2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4">
        <f t="shared" si="2"/>
        <v>68256</v>
      </c>
      <c r="G45" s="73"/>
      <c r="H45" s="76">
        <v>26494.0</v>
      </c>
      <c r="I45" s="178"/>
      <c r="J45" s="76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01" t="s">
        <v>336</v>
      </c>
      <c r="C46" s="104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2"/>
      <c r="H46" s="113">
        <v>26494.0</v>
      </c>
      <c r="I46" s="178"/>
      <c r="J46" s="113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2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4">
        <f t="shared" si="2"/>
        <v>68256</v>
      </c>
      <c r="G47" s="73"/>
      <c r="H47" s="76">
        <v>26494.0</v>
      </c>
      <c r="I47" s="178"/>
      <c r="J47" s="76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01" t="s">
        <v>338</v>
      </c>
      <c r="C48" s="104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2"/>
      <c r="H48" s="113">
        <v>26494.0</v>
      </c>
      <c r="I48" s="178"/>
      <c r="J48" s="113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2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4">
        <f t="shared" si="2"/>
        <v>68256</v>
      </c>
      <c r="G49" s="73"/>
      <c r="H49" s="76">
        <v>26494.0</v>
      </c>
      <c r="I49" s="178"/>
      <c r="J49" s="76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01" t="s">
        <v>340</v>
      </c>
      <c r="C50" s="104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2"/>
      <c r="H50" s="113">
        <v>26494.0</v>
      </c>
      <c r="I50" s="178"/>
      <c r="J50" s="113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2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4">
        <f t="shared" si="2"/>
        <v>68256</v>
      </c>
      <c r="G51" s="73"/>
      <c r="H51" s="76">
        <v>26494.0</v>
      </c>
      <c r="I51" s="178"/>
      <c r="J51" s="76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01" t="s">
        <v>342</v>
      </c>
      <c r="C52" s="104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2"/>
      <c r="H52" s="113">
        <v>26494.0</v>
      </c>
      <c r="I52" s="178"/>
      <c r="J52" s="113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2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4">
        <f t="shared" si="2"/>
        <v>68256</v>
      </c>
      <c r="G53" s="73"/>
      <c r="H53" s="76">
        <v>26494.0</v>
      </c>
      <c r="I53" s="178"/>
      <c r="J53" s="76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01" t="s">
        <v>344</v>
      </c>
      <c r="C54" s="104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2"/>
      <c r="H54" s="113">
        <v>26494.0</v>
      </c>
      <c r="I54" s="178"/>
      <c r="J54" s="113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2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4">
        <f t="shared" si="2"/>
        <v>68256</v>
      </c>
      <c r="G55" s="73"/>
      <c r="H55" s="76">
        <v>26494.0</v>
      </c>
      <c r="I55" s="178"/>
      <c r="J55" s="76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01" t="s">
        <v>346</v>
      </c>
      <c r="C56" s="104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2"/>
      <c r="H56" s="113">
        <v>26494.0</v>
      </c>
      <c r="I56" s="178"/>
      <c r="J56" s="113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2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4">
        <f t="shared" si="2"/>
        <v>68256</v>
      </c>
      <c r="G57" s="73"/>
      <c r="H57" s="76">
        <v>26494.0</v>
      </c>
      <c r="I57" s="178"/>
      <c r="J57" s="76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01" t="s">
        <v>348</v>
      </c>
      <c r="C58" s="104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2"/>
      <c r="H58" s="113">
        <v>26494.0</v>
      </c>
      <c r="I58" s="178"/>
      <c r="J58" s="113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41</v>
      </c>
      <c r="C59" s="6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12</v>
      </c>
    </row>
    <row r="3">
      <c r="A3" s="14" t="s">
        <v>15</v>
      </c>
      <c r="B3" s="14" t="s">
        <v>8</v>
      </c>
      <c r="C3" s="14" t="s">
        <v>18</v>
      </c>
      <c r="D3" s="14" t="s">
        <v>13</v>
      </c>
    </row>
    <row r="4">
      <c r="A4" s="19">
        <v>46174.0</v>
      </c>
      <c r="B4" s="21" t="s">
        <v>25</v>
      </c>
      <c r="C4" s="23">
        <v>1000.0</v>
      </c>
      <c r="D4" s="26">
        <v>46174.0</v>
      </c>
    </row>
    <row r="5">
      <c r="A5" s="19">
        <v>46175.0</v>
      </c>
      <c r="B5" s="21" t="s">
        <v>34</v>
      </c>
      <c r="C5" s="23">
        <v>12000.0</v>
      </c>
      <c r="D5" s="26">
        <v>46174.0</v>
      </c>
    </row>
    <row r="6">
      <c r="A6" s="19">
        <v>46176.0</v>
      </c>
      <c r="B6" s="21" t="s">
        <v>37</v>
      </c>
      <c r="C6" s="23">
        <v>2000.0</v>
      </c>
      <c r="D6" s="26">
        <v>46176.0</v>
      </c>
    </row>
    <row r="7">
      <c r="A7" s="19">
        <v>46177.0</v>
      </c>
      <c r="B7" s="21" t="s">
        <v>39</v>
      </c>
      <c r="C7" s="23">
        <v>3000.0</v>
      </c>
      <c r="D7" s="26">
        <v>46177.0</v>
      </c>
    </row>
    <row r="8">
      <c r="A8" s="19">
        <v>46178.0</v>
      </c>
      <c r="B8" s="36" t="s">
        <v>39</v>
      </c>
      <c r="C8" s="37">
        <v>1500.0</v>
      </c>
      <c r="D8" s="39">
        <v>46177.0</v>
      </c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>
      <c r="A9" s="19">
        <v>46179.0</v>
      </c>
      <c r="B9" s="21" t="s">
        <v>49</v>
      </c>
      <c r="C9" s="23">
        <v>585.0</v>
      </c>
      <c r="D9" s="26">
        <v>46179.0</v>
      </c>
    </row>
    <row r="10">
      <c r="A10" s="19">
        <v>46180.0</v>
      </c>
      <c r="B10" s="21" t="s">
        <v>51</v>
      </c>
      <c r="C10" s="23">
        <v>4208.0</v>
      </c>
      <c r="D10" s="21" t="s">
        <v>53</v>
      </c>
    </row>
    <row r="11">
      <c r="A11" s="19">
        <v>46181.0</v>
      </c>
      <c r="B11" s="21" t="s">
        <v>37</v>
      </c>
      <c r="C11" s="23">
        <v>2000.0</v>
      </c>
      <c r="D11" s="51"/>
    </row>
    <row r="12">
      <c r="A12" s="19">
        <v>46182.0</v>
      </c>
      <c r="B12" s="21" t="s">
        <v>57</v>
      </c>
      <c r="C12" s="23">
        <v>2000.0</v>
      </c>
      <c r="D12" s="21" t="s">
        <v>60</v>
      </c>
    </row>
    <row r="13">
      <c r="A13" s="19">
        <v>46174.0</v>
      </c>
      <c r="B13" s="21" t="s">
        <v>63</v>
      </c>
      <c r="C13" s="23">
        <v>9975.0</v>
      </c>
      <c r="D13" s="21" t="s">
        <v>65</v>
      </c>
    </row>
    <row r="14">
      <c r="A14" s="19">
        <v>46174.0</v>
      </c>
      <c r="B14" s="21" t="s">
        <v>66</v>
      </c>
      <c r="C14" s="23">
        <v>185.0</v>
      </c>
      <c r="D14" s="21" t="s">
        <v>65</v>
      </c>
    </row>
    <row r="15">
      <c r="A15" s="19">
        <v>46174.0</v>
      </c>
      <c r="B15" s="21" t="s">
        <v>69</v>
      </c>
      <c r="C15" s="23">
        <v>650.0</v>
      </c>
      <c r="D15" s="21" t="s">
        <v>65</v>
      </c>
    </row>
    <row r="16">
      <c r="A16" s="19">
        <v>46174.0</v>
      </c>
      <c r="B16" s="21" t="s">
        <v>70</v>
      </c>
      <c r="C16" s="23">
        <v>5077.0</v>
      </c>
      <c r="D16" s="21" t="s">
        <v>72</v>
      </c>
    </row>
    <row r="17">
      <c r="A17" s="19">
        <v>46174.0</v>
      </c>
      <c r="B17" s="21" t="s">
        <v>74</v>
      </c>
      <c r="C17" s="23">
        <v>716.0</v>
      </c>
      <c r="D17" s="21" t="s">
        <v>75</v>
      </c>
    </row>
    <row r="18">
      <c r="A18" s="19">
        <v>46175.0</v>
      </c>
      <c r="B18" s="21" t="s">
        <v>76</v>
      </c>
      <c r="C18" s="23">
        <v>5000.0</v>
      </c>
      <c r="D18" s="21" t="s">
        <v>75</v>
      </c>
    </row>
    <row r="19">
      <c r="A19" s="19">
        <v>46176.0</v>
      </c>
      <c r="B19" s="21" t="s">
        <v>79</v>
      </c>
      <c r="C19" s="23">
        <v>2000.0</v>
      </c>
      <c r="D19" s="21" t="s">
        <v>75</v>
      </c>
    </row>
    <row r="20">
      <c r="A20" s="19">
        <v>46177.0</v>
      </c>
      <c r="B20" s="21" t="s">
        <v>81</v>
      </c>
      <c r="C20" s="23">
        <v>240.0</v>
      </c>
      <c r="D20" s="21" t="s">
        <v>75</v>
      </c>
    </row>
    <row r="21">
      <c r="A21" s="19">
        <v>46178.0</v>
      </c>
      <c r="B21" s="21" t="s">
        <v>84</v>
      </c>
      <c r="C21" s="23">
        <v>512.0</v>
      </c>
      <c r="D21" s="21" t="s">
        <v>86</v>
      </c>
    </row>
    <row r="22">
      <c r="A22" s="19">
        <v>46179.0</v>
      </c>
      <c r="B22" s="21" t="s">
        <v>88</v>
      </c>
      <c r="C22" s="23">
        <v>3000.0</v>
      </c>
      <c r="D22" s="21" t="s">
        <v>86</v>
      </c>
    </row>
    <row r="23">
      <c r="A23" s="19">
        <v>46180.0</v>
      </c>
      <c r="B23" s="21" t="s">
        <v>92</v>
      </c>
      <c r="C23" s="23">
        <v>15230.0</v>
      </c>
      <c r="D23" s="21" t="s">
        <v>86</v>
      </c>
    </row>
    <row r="24">
      <c r="A24" s="19">
        <v>46181.0</v>
      </c>
      <c r="B24" s="21" t="s">
        <v>94</v>
      </c>
      <c r="C24" s="23">
        <v>1950.0</v>
      </c>
      <c r="D24" s="21" t="s">
        <v>86</v>
      </c>
    </row>
    <row r="25">
      <c r="A25" s="19">
        <v>46182.0</v>
      </c>
      <c r="B25" s="21" t="s">
        <v>98</v>
      </c>
      <c r="C25" s="23">
        <v>500.0</v>
      </c>
      <c r="D25" s="21" t="s">
        <v>99</v>
      </c>
    </row>
    <row r="26">
      <c r="A26" s="19">
        <v>46183.0</v>
      </c>
      <c r="B26" s="21" t="s">
        <v>101</v>
      </c>
      <c r="C26" s="23">
        <v>850.0</v>
      </c>
      <c r="D26" s="21" t="s">
        <v>99</v>
      </c>
    </row>
    <row r="27">
      <c r="A27" s="19">
        <v>46184.0</v>
      </c>
      <c r="B27" s="21" t="s">
        <v>103</v>
      </c>
      <c r="C27" s="23">
        <v>3000.0</v>
      </c>
      <c r="D27" s="21" t="s">
        <v>104</v>
      </c>
    </row>
    <row r="28">
      <c r="A28" s="19">
        <v>46185.0</v>
      </c>
      <c r="B28" s="21" t="s">
        <v>105</v>
      </c>
      <c r="C28" s="23">
        <v>4000.0</v>
      </c>
      <c r="D28" s="21" t="s">
        <v>104</v>
      </c>
    </row>
    <row r="29">
      <c r="A29" s="19">
        <v>46186.0</v>
      </c>
      <c r="B29" s="21" t="s">
        <v>107</v>
      </c>
      <c r="C29" s="23">
        <v>9855.0</v>
      </c>
      <c r="D29" s="21" t="s">
        <v>108</v>
      </c>
    </row>
    <row r="30">
      <c r="A30" s="19">
        <v>46187.0</v>
      </c>
      <c r="B30" s="21" t="s">
        <v>110</v>
      </c>
      <c r="C30" s="23">
        <v>590.0</v>
      </c>
      <c r="D30" s="26">
        <v>46181.0</v>
      </c>
    </row>
    <row r="31">
      <c r="A31" s="19">
        <v>46188.0</v>
      </c>
      <c r="B31" s="21" t="s">
        <v>111</v>
      </c>
      <c r="C31" s="23">
        <v>2000.0</v>
      </c>
      <c r="D31" s="26">
        <v>46184.0</v>
      </c>
    </row>
    <row r="32">
      <c r="A32" s="19">
        <v>46189.0</v>
      </c>
      <c r="B32" s="21" t="s">
        <v>112</v>
      </c>
      <c r="C32" s="23">
        <v>6000.0</v>
      </c>
      <c r="D32" s="26">
        <v>46191.0</v>
      </c>
    </row>
    <row r="33">
      <c r="A33" s="19">
        <v>46174.0</v>
      </c>
      <c r="B33" s="21" t="s">
        <v>114</v>
      </c>
      <c r="C33" s="23">
        <v>1070.0</v>
      </c>
      <c r="D33" s="26">
        <v>46193.0</v>
      </c>
    </row>
    <row r="34">
      <c r="A34" s="19">
        <v>46174.0</v>
      </c>
      <c r="B34" s="21" t="s">
        <v>115</v>
      </c>
      <c r="C34" s="23">
        <v>5000.0</v>
      </c>
      <c r="D34" s="26">
        <v>46193.0</v>
      </c>
    </row>
    <row r="35">
      <c r="A35" s="19">
        <v>46174.0</v>
      </c>
      <c r="B35" s="21" t="s">
        <v>116</v>
      </c>
      <c r="C35" s="23">
        <v>850.0</v>
      </c>
      <c r="D35" s="26">
        <v>46194.0</v>
      </c>
    </row>
    <row r="36">
      <c r="A36" s="19">
        <v>46174.0</v>
      </c>
      <c r="B36" s="21" t="s">
        <v>118</v>
      </c>
      <c r="C36" s="23">
        <v>220.0</v>
      </c>
      <c r="D36" s="26">
        <v>46194.0</v>
      </c>
    </row>
    <row r="37">
      <c r="A37" s="19">
        <v>46174.0</v>
      </c>
      <c r="B37" s="21" t="s">
        <v>120</v>
      </c>
      <c r="C37" s="23">
        <v>27500.0</v>
      </c>
      <c r="D37" s="21" t="s">
        <v>121</v>
      </c>
    </row>
    <row r="38">
      <c r="A38" s="51"/>
      <c r="B38" s="51"/>
      <c r="C38" s="69"/>
      <c r="D38" s="51"/>
    </row>
    <row r="39">
      <c r="A39" s="51"/>
      <c r="B39" s="51"/>
      <c r="C39" s="69"/>
      <c r="D39" s="51"/>
    </row>
    <row r="40">
      <c r="A40" s="51"/>
      <c r="B40" s="51"/>
      <c r="C40" s="69"/>
      <c r="D40" s="51"/>
    </row>
    <row r="41">
      <c r="A41" s="51"/>
      <c r="B41" s="51"/>
      <c r="C41" s="69"/>
      <c r="D41" s="51"/>
    </row>
    <row r="42">
      <c r="A42" s="51"/>
      <c r="B42" s="51"/>
      <c r="C42" s="69"/>
      <c r="D42" s="51"/>
    </row>
    <row r="43">
      <c r="A43" s="51"/>
      <c r="B43" s="51"/>
      <c r="C43" s="69"/>
      <c r="D43" s="51"/>
    </row>
    <row r="44">
      <c r="A44" s="51"/>
      <c r="B44" s="51"/>
      <c r="C44" s="69"/>
      <c r="D44" s="51"/>
    </row>
    <row r="45">
      <c r="A45" s="51"/>
      <c r="B45" s="51"/>
      <c r="C45" s="69"/>
      <c r="D45" s="51"/>
    </row>
    <row r="46">
      <c r="A46" s="51"/>
      <c r="B46" s="51"/>
      <c r="C46" s="69"/>
      <c r="D46" s="51"/>
    </row>
    <row r="47">
      <c r="A47" s="51"/>
      <c r="B47" s="51"/>
      <c r="C47" s="69"/>
      <c r="D47" s="51"/>
    </row>
    <row r="48">
      <c r="A48" s="51"/>
      <c r="B48" s="51"/>
      <c r="C48" s="69"/>
      <c r="D48" s="51"/>
    </row>
    <row r="49">
      <c r="A49" s="51"/>
      <c r="B49" s="51"/>
      <c r="C49" s="69"/>
      <c r="D49" s="51"/>
    </row>
    <row r="50">
      <c r="A50" s="51"/>
      <c r="B50" s="51"/>
      <c r="C50" s="69"/>
      <c r="D50" s="51"/>
    </row>
    <row r="51">
      <c r="A51" s="51"/>
      <c r="B51" s="51"/>
      <c r="C51" s="69"/>
      <c r="D51" s="51"/>
    </row>
    <row r="52">
      <c r="A52" s="51"/>
      <c r="B52" s="51"/>
      <c r="C52" s="69"/>
      <c r="D52" s="51"/>
    </row>
    <row r="53">
      <c r="A53" s="51"/>
      <c r="B53" s="51"/>
      <c r="C53" s="69"/>
      <c r="D53" s="51"/>
    </row>
    <row r="54">
      <c r="A54" s="51"/>
      <c r="B54" s="51"/>
      <c r="C54" s="69"/>
      <c r="D54" s="51"/>
    </row>
    <row r="55">
      <c r="A55" s="51"/>
      <c r="B55" s="51"/>
      <c r="C55" s="69"/>
      <c r="D55" s="51"/>
    </row>
    <row r="56">
      <c r="A56" s="51"/>
      <c r="B56" s="51"/>
      <c r="C56" s="69"/>
      <c r="D56" s="51"/>
    </row>
    <row r="57">
      <c r="A57" s="51"/>
      <c r="B57" s="51"/>
      <c r="C57" s="69"/>
      <c r="D57" s="51"/>
    </row>
    <row r="58">
      <c r="A58" s="51"/>
      <c r="B58" s="51"/>
      <c r="C58" s="69"/>
      <c r="D58" s="51"/>
    </row>
    <row r="59">
      <c r="A59" s="51"/>
      <c r="B59" s="51"/>
      <c r="C59" s="69"/>
      <c r="D59" s="51"/>
    </row>
    <row r="60">
      <c r="A60" s="51"/>
      <c r="B60" s="51"/>
      <c r="C60" s="69"/>
      <c r="D60" s="51"/>
    </row>
    <row r="61">
      <c r="A61" s="51"/>
      <c r="B61" s="51"/>
      <c r="C61" s="69"/>
      <c r="D61" s="51"/>
    </row>
    <row r="62">
      <c r="A62" s="51"/>
      <c r="B62" s="51"/>
      <c r="C62" s="69"/>
      <c r="D62" s="51"/>
    </row>
    <row r="63">
      <c r="A63" s="51"/>
      <c r="B63" s="51"/>
      <c r="C63" s="69"/>
      <c r="D63" s="51"/>
    </row>
    <row r="64">
      <c r="A64" s="51"/>
      <c r="B64" s="51"/>
      <c r="C64" s="69"/>
      <c r="D64" s="51"/>
    </row>
    <row r="65">
      <c r="A65" s="51"/>
      <c r="B65" s="51"/>
      <c r="C65" s="69"/>
      <c r="D65" s="51"/>
    </row>
    <row r="66">
      <c r="A66" s="51"/>
      <c r="B66" s="51"/>
      <c r="C66" s="69"/>
      <c r="D66" s="51"/>
    </row>
    <row r="67">
      <c r="A67" s="51"/>
      <c r="B67" s="51"/>
      <c r="C67" s="69"/>
      <c r="D67" s="51"/>
    </row>
    <row r="68">
      <c r="A68" s="51"/>
      <c r="B68" s="51"/>
      <c r="C68" s="69"/>
      <c r="D68" s="51"/>
    </row>
    <row r="69">
      <c r="A69" s="51"/>
      <c r="B69" s="51"/>
      <c r="C69" s="69"/>
      <c r="D69" s="51"/>
    </row>
    <row r="70">
      <c r="A70" s="51"/>
      <c r="B70" s="51"/>
      <c r="C70" s="69"/>
      <c r="D70" s="51"/>
    </row>
    <row r="71">
      <c r="A71" s="51"/>
      <c r="B71" s="51"/>
      <c r="C71" s="69"/>
      <c r="D71" s="51"/>
    </row>
    <row r="72">
      <c r="A72" s="51"/>
      <c r="B72" s="51"/>
      <c r="C72" s="69"/>
      <c r="D72" s="51"/>
    </row>
    <row r="73">
      <c r="A73" s="51"/>
      <c r="B73" s="51"/>
      <c r="C73" s="69"/>
      <c r="D73" s="51"/>
    </row>
    <row r="74">
      <c r="A74" s="51"/>
      <c r="B74" s="51"/>
      <c r="C74" s="69"/>
      <c r="D74" s="51"/>
    </row>
    <row r="75">
      <c r="A75" s="51"/>
      <c r="B75" s="51"/>
      <c r="C75" s="69"/>
      <c r="D75" s="51"/>
    </row>
    <row r="76">
      <c r="A76" s="51"/>
      <c r="B76" s="51"/>
      <c r="C76" s="69"/>
      <c r="D76" s="51"/>
    </row>
    <row r="77">
      <c r="A77" s="51"/>
      <c r="B77" s="51"/>
      <c r="C77" s="69"/>
      <c r="D77" s="51"/>
    </row>
    <row r="78">
      <c r="A78" s="51"/>
      <c r="B78" s="51"/>
      <c r="C78" s="69"/>
      <c r="D78" s="51"/>
    </row>
    <row r="79">
      <c r="A79" s="51"/>
      <c r="B79" s="51"/>
      <c r="C79" s="69"/>
      <c r="D79" s="51"/>
    </row>
    <row r="80">
      <c r="A80" s="51"/>
      <c r="B80" s="51"/>
      <c r="C80" s="69"/>
      <c r="D80" s="51"/>
    </row>
    <row r="81">
      <c r="A81" s="51"/>
      <c r="B81" s="51"/>
      <c r="C81" s="69"/>
      <c r="D81" s="51"/>
    </row>
    <row r="82">
      <c r="A82" s="51"/>
      <c r="B82" s="51"/>
      <c r="C82" s="69"/>
      <c r="D82" s="51"/>
    </row>
    <row r="83">
      <c r="A83" s="51"/>
      <c r="B83" s="51"/>
      <c r="C83" s="69"/>
      <c r="D83" s="51"/>
    </row>
    <row r="84">
      <c r="A84" s="51"/>
      <c r="B84" s="51"/>
      <c r="C84" s="69"/>
      <c r="D84" s="51"/>
    </row>
    <row r="85">
      <c r="A85" s="51"/>
      <c r="B85" s="51"/>
      <c r="C85" s="69"/>
      <c r="D85" s="51"/>
    </row>
    <row r="86">
      <c r="A86" s="51"/>
      <c r="B86" s="51"/>
      <c r="C86" s="69"/>
      <c r="D86" s="51"/>
    </row>
    <row r="87">
      <c r="A87" s="51"/>
      <c r="B87" s="51"/>
      <c r="C87" s="69"/>
      <c r="D87" s="51"/>
    </row>
    <row r="88">
      <c r="A88" s="51"/>
      <c r="B88" s="51"/>
      <c r="C88" s="69"/>
      <c r="D88" s="51"/>
    </row>
    <row r="89">
      <c r="A89" s="51"/>
      <c r="B89" s="51"/>
      <c r="C89" s="69"/>
      <c r="D89" s="51"/>
    </row>
    <row r="90">
      <c r="A90" s="51"/>
      <c r="B90" s="51"/>
      <c r="C90" s="69"/>
      <c r="D90" s="51"/>
    </row>
    <row r="91">
      <c r="A91" s="51"/>
      <c r="B91" s="51"/>
      <c r="C91" s="69"/>
      <c r="D91" s="51"/>
    </row>
    <row r="92">
      <c r="A92" s="51"/>
      <c r="B92" s="51"/>
      <c r="C92" s="69"/>
      <c r="D92" s="51"/>
    </row>
    <row r="93">
      <c r="A93" s="51"/>
      <c r="B93" s="51"/>
      <c r="C93" s="69"/>
      <c r="D93" s="51"/>
    </row>
    <row r="94">
      <c r="A94" s="51"/>
      <c r="B94" s="51"/>
      <c r="C94" s="69"/>
      <c r="D94" s="51"/>
    </row>
    <row r="95">
      <c r="A95" s="51"/>
      <c r="B95" s="51"/>
      <c r="C95" s="69"/>
      <c r="D95" s="51"/>
    </row>
    <row r="96">
      <c r="A96" s="51"/>
      <c r="B96" s="51"/>
      <c r="C96" s="69"/>
      <c r="D96" s="51"/>
    </row>
    <row r="97">
      <c r="A97" s="51"/>
      <c r="B97" s="51"/>
      <c r="C97" s="69"/>
      <c r="D97" s="51"/>
    </row>
    <row r="98">
      <c r="A98" s="51"/>
      <c r="B98" s="51"/>
      <c r="C98" s="69"/>
      <c r="D98" s="51"/>
    </row>
    <row r="99">
      <c r="A99" s="51"/>
      <c r="B99" s="51"/>
      <c r="C99" s="69"/>
      <c r="D99" s="51"/>
    </row>
    <row r="100">
      <c r="A100" s="51"/>
      <c r="B100" s="51"/>
      <c r="C100" s="69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16</v>
      </c>
    </row>
    <row r="4">
      <c r="B4" s="18" t="s">
        <v>21</v>
      </c>
      <c r="C4" s="18" t="s">
        <v>22</v>
      </c>
      <c r="D4" s="18" t="s">
        <v>23</v>
      </c>
      <c r="E4" s="18" t="s">
        <v>24</v>
      </c>
      <c r="F4" s="18" t="s">
        <v>26</v>
      </c>
      <c r="G4" s="18" t="s">
        <v>27</v>
      </c>
      <c r="H4" s="25" t="s">
        <v>28</v>
      </c>
    </row>
    <row r="5">
      <c r="B5" s="27">
        <v>55.8</v>
      </c>
      <c r="C5" s="28">
        <v>0.11</v>
      </c>
      <c r="D5" s="27" t="s">
        <v>33</v>
      </c>
      <c r="E5" s="27" t="s">
        <v>35</v>
      </c>
      <c r="F5" s="30">
        <v>391560.0</v>
      </c>
      <c r="G5" s="33">
        <v>46010.0</v>
      </c>
      <c r="H5" s="10">
        <f t="shared" ref="H5:H9" si="1">IF(OR(ISBLANK(F5), ISBLANK(G5), ISBLANK(C5)), 0, F5 * C5 * (TODAY() - G5) / 365)</f>
        <v>25724.95562</v>
      </c>
    </row>
    <row r="6">
      <c r="B6" s="27">
        <v>30.0</v>
      </c>
      <c r="C6" s="28">
        <v>0.1</v>
      </c>
      <c r="D6" s="27" t="s">
        <v>33</v>
      </c>
      <c r="E6" s="27" t="s">
        <v>46</v>
      </c>
      <c r="F6" s="30">
        <v>229500.0</v>
      </c>
      <c r="G6" s="33">
        <v>45966.0</v>
      </c>
      <c r="H6" s="10">
        <f t="shared" si="1"/>
        <v>16473.69863</v>
      </c>
    </row>
    <row r="7">
      <c r="B7" s="27">
        <v>36.9</v>
      </c>
      <c r="C7" s="28">
        <v>0.105</v>
      </c>
      <c r="D7" s="27" t="s">
        <v>33</v>
      </c>
      <c r="E7" s="27" t="s">
        <v>50</v>
      </c>
      <c r="F7" s="30">
        <v>300000.0</v>
      </c>
      <c r="G7" s="33">
        <v>46169.0</v>
      </c>
      <c r="H7" s="10">
        <f t="shared" si="1"/>
        <v>5091.780822</v>
      </c>
    </row>
    <row r="8">
      <c r="B8" s="27">
        <v>15.0</v>
      </c>
      <c r="C8" s="48"/>
      <c r="D8" s="27" t="s">
        <v>33</v>
      </c>
      <c r="E8" s="27" t="s">
        <v>50</v>
      </c>
      <c r="F8" s="30">
        <v>135000.0</v>
      </c>
      <c r="G8" s="33">
        <v>46178.0</v>
      </c>
      <c r="H8" s="10">
        <f t="shared" si="1"/>
        <v>0</v>
      </c>
    </row>
    <row r="9">
      <c r="B9" s="53"/>
      <c r="C9" s="48"/>
      <c r="D9" s="27" t="s">
        <v>33</v>
      </c>
      <c r="E9" s="27" t="s">
        <v>62</v>
      </c>
      <c r="F9" s="30">
        <v>297698.0</v>
      </c>
      <c r="G9" s="33">
        <v>46035.0</v>
      </c>
      <c r="H9" s="10">
        <f t="shared" si="1"/>
        <v>0</v>
      </c>
    </row>
    <row r="10">
      <c r="B10" s="53"/>
      <c r="C10" s="48"/>
      <c r="D10" s="53"/>
      <c r="E10" s="53"/>
      <c r="F10" s="54"/>
      <c r="G10" s="56"/>
      <c r="H10" s="10" t="str">
        <f t="shared" ref="H10:H96" si="2">IF(OR(ISBLANK(F10), ISBLANK(G10)), "", F10 * (C10/100) * (TODAY() - G10) / 365)</f>
        <v/>
      </c>
    </row>
    <row r="11">
      <c r="B11" s="53"/>
      <c r="C11" s="48"/>
      <c r="D11" s="53"/>
      <c r="E11" s="53"/>
      <c r="F11" s="54"/>
      <c r="G11" s="56"/>
      <c r="H11" s="10" t="str">
        <f t="shared" si="2"/>
        <v/>
      </c>
    </row>
    <row r="12">
      <c r="B12" s="53"/>
      <c r="C12" s="48"/>
      <c r="D12" s="53"/>
      <c r="E12" s="53"/>
      <c r="F12" s="54"/>
      <c r="G12" s="56"/>
      <c r="H12" s="10" t="str">
        <f t="shared" si="2"/>
        <v/>
      </c>
    </row>
    <row r="13">
      <c r="B13" s="53"/>
      <c r="C13" s="48"/>
      <c r="D13" s="53"/>
      <c r="E13" s="53"/>
      <c r="F13" s="54"/>
      <c r="G13" s="56"/>
      <c r="H13" s="10" t="str">
        <f t="shared" si="2"/>
        <v/>
      </c>
    </row>
    <row r="14">
      <c r="B14" s="53"/>
      <c r="C14" s="48"/>
      <c r="D14" s="53"/>
      <c r="E14" s="53"/>
      <c r="F14" s="54"/>
      <c r="G14" s="56"/>
      <c r="H14" s="10" t="str">
        <f t="shared" si="2"/>
        <v/>
      </c>
    </row>
    <row r="15">
      <c r="B15" s="53"/>
      <c r="C15" s="48"/>
      <c r="D15" s="53"/>
      <c r="E15" s="53"/>
      <c r="F15" s="54"/>
      <c r="G15" s="56"/>
      <c r="H15" s="10" t="str">
        <f t="shared" si="2"/>
        <v/>
      </c>
    </row>
    <row r="16">
      <c r="B16" s="53"/>
      <c r="C16" s="48"/>
      <c r="D16" s="53"/>
      <c r="E16" s="53"/>
      <c r="F16" s="54"/>
      <c r="G16" s="56"/>
      <c r="H16" s="10" t="str">
        <f t="shared" si="2"/>
        <v/>
      </c>
    </row>
    <row r="17">
      <c r="B17" s="53"/>
      <c r="C17" s="48"/>
      <c r="D17" s="53"/>
      <c r="E17" s="53"/>
      <c r="F17" s="54"/>
      <c r="G17" s="56"/>
      <c r="H17" s="10" t="str">
        <f t="shared" si="2"/>
        <v/>
      </c>
    </row>
    <row r="18">
      <c r="B18" s="53"/>
      <c r="C18" s="48"/>
      <c r="D18" s="53"/>
      <c r="E18" s="53"/>
      <c r="F18" s="54"/>
      <c r="G18" s="56"/>
      <c r="H18" s="10" t="str">
        <f t="shared" si="2"/>
        <v/>
      </c>
    </row>
    <row r="19">
      <c r="B19" s="53"/>
      <c r="C19" s="48"/>
      <c r="D19" s="53"/>
      <c r="E19" s="53"/>
      <c r="F19" s="54"/>
      <c r="G19" s="56"/>
      <c r="H19" s="10" t="str">
        <f t="shared" si="2"/>
        <v/>
      </c>
    </row>
    <row r="20">
      <c r="B20" s="53"/>
      <c r="C20" s="48"/>
      <c r="D20" s="53"/>
      <c r="E20" s="53"/>
      <c r="F20" s="54"/>
      <c r="G20" s="56"/>
      <c r="H20" s="10" t="str">
        <f t="shared" si="2"/>
        <v/>
      </c>
    </row>
    <row r="21">
      <c r="B21" s="53"/>
      <c r="C21" s="48"/>
      <c r="D21" s="53"/>
      <c r="E21" s="53"/>
      <c r="F21" s="54"/>
      <c r="G21" s="56"/>
      <c r="H21" s="10" t="str">
        <f t="shared" si="2"/>
        <v/>
      </c>
    </row>
    <row r="22">
      <c r="B22" s="53"/>
      <c r="C22" s="48"/>
      <c r="D22" s="53"/>
      <c r="E22" s="53"/>
      <c r="F22" s="54"/>
      <c r="G22" s="56"/>
      <c r="H22" s="10" t="str">
        <f t="shared" si="2"/>
        <v/>
      </c>
    </row>
    <row r="23">
      <c r="B23" s="53"/>
      <c r="C23" s="48"/>
      <c r="D23" s="53"/>
      <c r="E23" s="53"/>
      <c r="F23" s="54"/>
      <c r="G23" s="56"/>
      <c r="H23" s="10" t="str">
        <f t="shared" si="2"/>
        <v/>
      </c>
    </row>
    <row r="24">
      <c r="B24" s="53"/>
      <c r="C24" s="48"/>
      <c r="D24" s="53"/>
      <c r="E24" s="53"/>
      <c r="F24" s="54"/>
      <c r="G24" s="56"/>
      <c r="H24" s="10" t="str">
        <f t="shared" si="2"/>
        <v/>
      </c>
    </row>
    <row r="25">
      <c r="B25" s="53"/>
      <c r="C25" s="48"/>
      <c r="D25" s="53"/>
      <c r="E25" s="53"/>
      <c r="F25" s="54"/>
      <c r="G25" s="56"/>
      <c r="H25" s="10" t="str">
        <f t="shared" si="2"/>
        <v/>
      </c>
    </row>
    <row r="26">
      <c r="B26" s="53"/>
      <c r="C26" s="48"/>
      <c r="D26" s="53"/>
      <c r="E26" s="53"/>
      <c r="F26" s="54"/>
      <c r="G26" s="56"/>
      <c r="H26" s="10" t="str">
        <f t="shared" si="2"/>
        <v/>
      </c>
    </row>
    <row r="27">
      <c r="B27" s="53"/>
      <c r="C27" s="48"/>
      <c r="D27" s="53"/>
      <c r="E27" s="53"/>
      <c r="F27" s="54"/>
      <c r="G27" s="56"/>
      <c r="H27" s="10" t="str">
        <f t="shared" si="2"/>
        <v/>
      </c>
    </row>
    <row r="28">
      <c r="B28" s="53"/>
      <c r="C28" s="48"/>
      <c r="D28" s="53"/>
      <c r="E28" s="53"/>
      <c r="F28" s="54"/>
      <c r="G28" s="56"/>
      <c r="H28" s="10" t="str">
        <f t="shared" si="2"/>
        <v/>
      </c>
    </row>
    <row r="29">
      <c r="B29" s="53"/>
      <c r="C29" s="48"/>
      <c r="D29" s="53"/>
      <c r="E29" s="53"/>
      <c r="F29" s="54"/>
      <c r="G29" s="56"/>
      <c r="H29" s="10" t="str">
        <f t="shared" si="2"/>
        <v/>
      </c>
    </row>
    <row r="30">
      <c r="B30" s="53"/>
      <c r="C30" s="48"/>
      <c r="D30" s="53"/>
      <c r="E30" s="53"/>
      <c r="F30" s="54"/>
      <c r="G30" s="56"/>
      <c r="H30" s="10" t="str">
        <f t="shared" si="2"/>
        <v/>
      </c>
    </row>
    <row r="31">
      <c r="B31" s="53"/>
      <c r="C31" s="48"/>
      <c r="D31" s="53"/>
      <c r="E31" s="53"/>
      <c r="F31" s="54"/>
      <c r="G31" s="56"/>
      <c r="H31" s="10" t="str">
        <f t="shared" si="2"/>
        <v/>
      </c>
    </row>
    <row r="32">
      <c r="B32" s="53"/>
      <c r="C32" s="48"/>
      <c r="D32" s="53"/>
      <c r="E32" s="53"/>
      <c r="F32" s="54"/>
      <c r="G32" s="56"/>
      <c r="H32" s="10" t="str">
        <f t="shared" si="2"/>
        <v/>
      </c>
    </row>
    <row r="33">
      <c r="B33" s="53"/>
      <c r="C33" s="48"/>
      <c r="D33" s="53"/>
      <c r="E33" s="53"/>
      <c r="F33" s="54"/>
      <c r="G33" s="56"/>
      <c r="H33" s="10" t="str">
        <f t="shared" si="2"/>
        <v/>
      </c>
    </row>
    <row r="34">
      <c r="B34" s="53"/>
      <c r="C34" s="48"/>
      <c r="D34" s="53"/>
      <c r="E34" s="53"/>
      <c r="F34" s="54"/>
      <c r="G34" s="56"/>
      <c r="H34" s="10" t="str">
        <f t="shared" si="2"/>
        <v/>
      </c>
    </row>
    <row r="35">
      <c r="B35" s="53"/>
      <c r="C35" s="48"/>
      <c r="D35" s="53"/>
      <c r="E35" s="53"/>
      <c r="F35" s="54"/>
      <c r="G35" s="56"/>
      <c r="H35" s="10" t="str">
        <f t="shared" si="2"/>
        <v/>
      </c>
    </row>
    <row r="36">
      <c r="B36" s="53"/>
      <c r="C36" s="48"/>
      <c r="D36" s="53"/>
      <c r="E36" s="53"/>
      <c r="F36" s="54"/>
      <c r="G36" s="56"/>
      <c r="H36" s="10" t="str">
        <f t="shared" si="2"/>
        <v/>
      </c>
    </row>
    <row r="37">
      <c r="B37" s="53"/>
      <c r="C37" s="48"/>
      <c r="D37" s="53"/>
      <c r="E37" s="53"/>
      <c r="F37" s="54"/>
      <c r="G37" s="56"/>
      <c r="H37" s="10" t="str">
        <f t="shared" si="2"/>
        <v/>
      </c>
    </row>
    <row r="38">
      <c r="B38" s="53"/>
      <c r="C38" s="48"/>
      <c r="D38" s="53"/>
      <c r="E38" s="53"/>
      <c r="F38" s="54"/>
      <c r="G38" s="56"/>
      <c r="H38" s="10" t="str">
        <f t="shared" si="2"/>
        <v/>
      </c>
    </row>
    <row r="39">
      <c r="B39" s="53"/>
      <c r="C39" s="48"/>
      <c r="D39" s="53"/>
      <c r="E39" s="53"/>
      <c r="F39" s="54"/>
      <c r="G39" s="56"/>
      <c r="H39" s="10" t="str">
        <f t="shared" si="2"/>
        <v/>
      </c>
    </row>
    <row r="40">
      <c r="B40" s="53"/>
      <c r="C40" s="48"/>
      <c r="D40" s="53"/>
      <c r="E40" s="53"/>
      <c r="F40" s="54"/>
      <c r="G40" s="56"/>
      <c r="H40" s="10" t="str">
        <f t="shared" si="2"/>
        <v/>
      </c>
    </row>
    <row r="41">
      <c r="B41" s="53"/>
      <c r="C41" s="48"/>
      <c r="D41" s="53"/>
      <c r="E41" s="53"/>
      <c r="F41" s="54"/>
      <c r="G41" s="56"/>
      <c r="H41" s="10" t="str">
        <f t="shared" si="2"/>
        <v/>
      </c>
    </row>
    <row r="42">
      <c r="B42" s="53"/>
      <c r="C42" s="48"/>
      <c r="D42" s="53"/>
      <c r="E42" s="53"/>
      <c r="F42" s="54"/>
      <c r="G42" s="56"/>
      <c r="H42" s="10" t="str">
        <f t="shared" si="2"/>
        <v/>
      </c>
    </row>
    <row r="43">
      <c r="B43" s="53"/>
      <c r="C43" s="48"/>
      <c r="D43" s="53"/>
      <c r="E43" s="53"/>
      <c r="F43" s="54"/>
      <c r="G43" s="56"/>
      <c r="H43" s="10" t="str">
        <f t="shared" si="2"/>
        <v/>
      </c>
    </row>
    <row r="44">
      <c r="B44" s="53"/>
      <c r="C44" s="48"/>
      <c r="D44" s="53"/>
      <c r="E44" s="53"/>
      <c r="F44" s="54"/>
      <c r="G44" s="56"/>
      <c r="H44" s="10" t="str">
        <f t="shared" si="2"/>
        <v/>
      </c>
    </row>
    <row r="45">
      <c r="B45" s="53"/>
      <c r="C45" s="48"/>
      <c r="D45" s="53"/>
      <c r="E45" s="53"/>
      <c r="F45" s="54"/>
      <c r="G45" s="56"/>
      <c r="H45" s="10" t="str">
        <f t="shared" si="2"/>
        <v/>
      </c>
    </row>
    <row r="46">
      <c r="B46" s="53"/>
      <c r="C46" s="48"/>
      <c r="D46" s="53"/>
      <c r="E46" s="53"/>
      <c r="F46" s="54"/>
      <c r="G46" s="56"/>
      <c r="H46" s="10" t="str">
        <f t="shared" si="2"/>
        <v/>
      </c>
    </row>
    <row r="47">
      <c r="B47" s="53"/>
      <c r="C47" s="48"/>
      <c r="D47" s="53"/>
      <c r="E47" s="53"/>
      <c r="F47" s="54"/>
      <c r="G47" s="56"/>
      <c r="H47" s="10" t="str">
        <f t="shared" si="2"/>
        <v/>
      </c>
    </row>
    <row r="48">
      <c r="B48" s="53"/>
      <c r="C48" s="48"/>
      <c r="D48" s="53"/>
      <c r="E48" s="53"/>
      <c r="F48" s="54"/>
      <c r="G48" s="56"/>
      <c r="H48" s="10" t="str">
        <f t="shared" si="2"/>
        <v/>
      </c>
    </row>
    <row r="49">
      <c r="B49" s="53"/>
      <c r="C49" s="48"/>
      <c r="D49" s="53"/>
      <c r="E49" s="53"/>
      <c r="F49" s="54"/>
      <c r="G49" s="56"/>
      <c r="H49" s="10" t="str">
        <f t="shared" si="2"/>
        <v/>
      </c>
    </row>
    <row r="50">
      <c r="B50" s="53"/>
      <c r="C50" s="48"/>
      <c r="D50" s="53"/>
      <c r="E50" s="53"/>
      <c r="F50" s="54"/>
      <c r="G50" s="56"/>
      <c r="H50" s="10" t="str">
        <f t="shared" si="2"/>
        <v/>
      </c>
    </row>
    <row r="51">
      <c r="B51" s="53"/>
      <c r="C51" s="48"/>
      <c r="D51" s="53"/>
      <c r="E51" s="53"/>
      <c r="F51" s="54"/>
      <c r="G51" s="56"/>
      <c r="H51" s="10" t="str">
        <f t="shared" si="2"/>
        <v/>
      </c>
    </row>
    <row r="52">
      <c r="B52" s="53"/>
      <c r="C52" s="48"/>
      <c r="D52" s="53"/>
      <c r="E52" s="53"/>
      <c r="F52" s="54"/>
      <c r="G52" s="56"/>
      <c r="H52" s="10" t="str">
        <f t="shared" si="2"/>
        <v/>
      </c>
    </row>
    <row r="53">
      <c r="B53" s="53"/>
      <c r="C53" s="48"/>
      <c r="D53" s="53"/>
      <c r="E53" s="53"/>
      <c r="F53" s="54"/>
      <c r="G53" s="56"/>
      <c r="H53" s="10" t="str">
        <f t="shared" si="2"/>
        <v/>
      </c>
    </row>
    <row r="54">
      <c r="B54" s="53"/>
      <c r="C54" s="48"/>
      <c r="D54" s="53"/>
      <c r="E54" s="53"/>
      <c r="F54" s="54"/>
      <c r="G54" s="56"/>
      <c r="H54" s="10" t="str">
        <f t="shared" si="2"/>
        <v/>
      </c>
    </row>
    <row r="55">
      <c r="B55" s="53"/>
      <c r="C55" s="48"/>
      <c r="D55" s="53"/>
      <c r="E55" s="53"/>
      <c r="F55" s="54"/>
      <c r="G55" s="56"/>
      <c r="H55" s="10" t="str">
        <f t="shared" si="2"/>
        <v/>
      </c>
    </row>
    <row r="56">
      <c r="B56" s="53"/>
      <c r="C56" s="48"/>
      <c r="D56" s="53"/>
      <c r="E56" s="53"/>
      <c r="F56" s="54"/>
      <c r="G56" s="56"/>
      <c r="H56" s="10" t="str">
        <f t="shared" si="2"/>
        <v/>
      </c>
    </row>
    <row r="57">
      <c r="B57" s="53"/>
      <c r="C57" s="48"/>
      <c r="D57" s="53"/>
      <c r="E57" s="53"/>
      <c r="F57" s="54"/>
      <c r="G57" s="56"/>
      <c r="H57" s="10" t="str">
        <f t="shared" si="2"/>
        <v/>
      </c>
    </row>
    <row r="58">
      <c r="B58" s="53"/>
      <c r="C58" s="48"/>
      <c r="D58" s="53"/>
      <c r="E58" s="53"/>
      <c r="F58" s="54"/>
      <c r="G58" s="56"/>
      <c r="H58" s="10" t="str">
        <f t="shared" si="2"/>
        <v/>
      </c>
    </row>
    <row r="59">
      <c r="B59" s="53"/>
      <c r="C59" s="48"/>
      <c r="D59" s="53"/>
      <c r="E59" s="53"/>
      <c r="F59" s="54"/>
      <c r="G59" s="56"/>
      <c r="H59" s="10" t="str">
        <f t="shared" si="2"/>
        <v/>
      </c>
    </row>
    <row r="60">
      <c r="B60" s="53"/>
      <c r="C60" s="48"/>
      <c r="D60" s="53"/>
      <c r="E60" s="53"/>
      <c r="F60" s="54"/>
      <c r="G60" s="56"/>
      <c r="H60" s="10" t="str">
        <f t="shared" si="2"/>
        <v/>
      </c>
    </row>
    <row r="61">
      <c r="B61" s="53"/>
      <c r="C61" s="48"/>
      <c r="D61" s="53"/>
      <c r="E61" s="53"/>
      <c r="F61" s="54"/>
      <c r="G61" s="56"/>
      <c r="H61" s="10" t="str">
        <f t="shared" si="2"/>
        <v/>
      </c>
    </row>
    <row r="62">
      <c r="B62" s="53"/>
      <c r="C62" s="48"/>
      <c r="D62" s="53"/>
      <c r="E62" s="53"/>
      <c r="F62" s="54"/>
      <c r="G62" s="56"/>
      <c r="H62" s="10" t="str">
        <f t="shared" si="2"/>
        <v/>
      </c>
    </row>
    <row r="63">
      <c r="B63" s="53"/>
      <c r="C63" s="48"/>
      <c r="D63" s="53"/>
      <c r="E63" s="53"/>
      <c r="F63" s="54"/>
      <c r="G63" s="56"/>
      <c r="H63" s="10" t="str">
        <f t="shared" si="2"/>
        <v/>
      </c>
    </row>
    <row r="64">
      <c r="B64" s="53"/>
      <c r="C64" s="48"/>
      <c r="D64" s="53"/>
      <c r="E64" s="53"/>
      <c r="F64" s="54"/>
      <c r="G64" s="56"/>
      <c r="H64" s="10" t="str">
        <f t="shared" si="2"/>
        <v/>
      </c>
    </row>
    <row r="65">
      <c r="B65" s="53"/>
      <c r="C65" s="48"/>
      <c r="D65" s="53"/>
      <c r="E65" s="53"/>
      <c r="F65" s="54"/>
      <c r="G65" s="56"/>
      <c r="H65" s="10" t="str">
        <f t="shared" si="2"/>
        <v/>
      </c>
    </row>
    <row r="66">
      <c r="B66" s="53"/>
      <c r="C66" s="48"/>
      <c r="D66" s="53"/>
      <c r="E66" s="53"/>
      <c r="F66" s="54"/>
      <c r="G66" s="56"/>
      <c r="H66" s="10" t="str">
        <f t="shared" si="2"/>
        <v/>
      </c>
    </row>
    <row r="67">
      <c r="B67" s="53"/>
      <c r="C67" s="48"/>
      <c r="D67" s="53"/>
      <c r="E67" s="53"/>
      <c r="F67" s="54"/>
      <c r="G67" s="56"/>
      <c r="H67" s="10" t="str">
        <f t="shared" si="2"/>
        <v/>
      </c>
    </row>
    <row r="68">
      <c r="B68" s="53"/>
      <c r="C68" s="48"/>
      <c r="D68" s="53"/>
      <c r="E68" s="53"/>
      <c r="F68" s="54"/>
      <c r="G68" s="56"/>
      <c r="H68" s="10" t="str">
        <f t="shared" si="2"/>
        <v/>
      </c>
    </row>
    <row r="69">
      <c r="B69" s="53"/>
      <c r="C69" s="48"/>
      <c r="D69" s="53"/>
      <c r="E69" s="53"/>
      <c r="F69" s="54"/>
      <c r="G69" s="56"/>
      <c r="H69" s="10" t="str">
        <f t="shared" si="2"/>
        <v/>
      </c>
    </row>
    <row r="70">
      <c r="B70" s="53"/>
      <c r="C70" s="48"/>
      <c r="D70" s="53"/>
      <c r="E70" s="53"/>
      <c r="F70" s="54"/>
      <c r="G70" s="56"/>
      <c r="H70" s="10" t="str">
        <f t="shared" si="2"/>
        <v/>
      </c>
    </row>
    <row r="71">
      <c r="B71" s="53"/>
      <c r="C71" s="48"/>
      <c r="D71" s="53"/>
      <c r="E71" s="53"/>
      <c r="F71" s="54"/>
      <c r="G71" s="56"/>
      <c r="H71" s="10" t="str">
        <f t="shared" si="2"/>
        <v/>
      </c>
    </row>
    <row r="72">
      <c r="B72" s="53"/>
      <c r="C72" s="48"/>
      <c r="D72" s="53"/>
      <c r="E72" s="53"/>
      <c r="F72" s="54"/>
      <c r="G72" s="56"/>
      <c r="H72" s="10" t="str">
        <f t="shared" si="2"/>
        <v/>
      </c>
    </row>
    <row r="73">
      <c r="B73" s="53"/>
      <c r="C73" s="48"/>
      <c r="D73" s="53"/>
      <c r="E73" s="53"/>
      <c r="F73" s="54"/>
      <c r="G73" s="56"/>
      <c r="H73" s="10" t="str">
        <f t="shared" si="2"/>
        <v/>
      </c>
    </row>
    <row r="74">
      <c r="B74" s="53"/>
      <c r="C74" s="48"/>
      <c r="D74" s="53"/>
      <c r="E74" s="53"/>
      <c r="F74" s="54"/>
      <c r="G74" s="56"/>
      <c r="H74" s="10" t="str">
        <f t="shared" si="2"/>
        <v/>
      </c>
    </row>
    <row r="75">
      <c r="B75" s="53"/>
      <c r="C75" s="48"/>
      <c r="D75" s="53"/>
      <c r="E75" s="53"/>
      <c r="F75" s="54"/>
      <c r="G75" s="56"/>
      <c r="H75" s="10" t="str">
        <f t="shared" si="2"/>
        <v/>
      </c>
    </row>
    <row r="76">
      <c r="B76" s="53"/>
      <c r="C76" s="48"/>
      <c r="D76" s="53"/>
      <c r="E76" s="53"/>
      <c r="F76" s="54"/>
      <c r="G76" s="56"/>
      <c r="H76" s="10" t="str">
        <f t="shared" si="2"/>
        <v/>
      </c>
    </row>
    <row r="77">
      <c r="B77" s="53"/>
      <c r="C77" s="48"/>
      <c r="D77" s="53"/>
      <c r="E77" s="53"/>
      <c r="F77" s="54"/>
      <c r="G77" s="56"/>
      <c r="H77" s="10" t="str">
        <f t="shared" si="2"/>
        <v/>
      </c>
    </row>
    <row r="78">
      <c r="B78" s="53"/>
      <c r="C78" s="48"/>
      <c r="D78" s="53"/>
      <c r="E78" s="53"/>
      <c r="F78" s="54"/>
      <c r="G78" s="56"/>
      <c r="H78" s="10" t="str">
        <f t="shared" si="2"/>
        <v/>
      </c>
    </row>
    <row r="79">
      <c r="B79" s="53"/>
      <c r="C79" s="48"/>
      <c r="D79" s="53"/>
      <c r="E79" s="53"/>
      <c r="F79" s="54"/>
      <c r="G79" s="56"/>
      <c r="H79" s="10" t="str">
        <f t="shared" si="2"/>
        <v/>
      </c>
    </row>
    <row r="80">
      <c r="B80" s="53"/>
      <c r="C80" s="48"/>
      <c r="D80" s="53"/>
      <c r="E80" s="53"/>
      <c r="F80" s="54"/>
      <c r="G80" s="56"/>
      <c r="H80" s="10" t="str">
        <f t="shared" si="2"/>
        <v/>
      </c>
    </row>
    <row r="81">
      <c r="B81" s="53"/>
      <c r="C81" s="48"/>
      <c r="D81" s="53"/>
      <c r="E81" s="53"/>
      <c r="F81" s="54"/>
      <c r="G81" s="56"/>
      <c r="H81" s="10" t="str">
        <f t="shared" si="2"/>
        <v/>
      </c>
    </row>
    <row r="82">
      <c r="B82" s="53"/>
      <c r="C82" s="48"/>
      <c r="D82" s="53"/>
      <c r="E82" s="53"/>
      <c r="F82" s="54"/>
      <c r="G82" s="56"/>
      <c r="H82" s="10" t="str">
        <f t="shared" si="2"/>
        <v/>
      </c>
    </row>
    <row r="83">
      <c r="B83" s="53"/>
      <c r="C83" s="48"/>
      <c r="D83" s="53"/>
      <c r="E83" s="53"/>
      <c r="F83" s="54"/>
      <c r="G83" s="56"/>
      <c r="H83" s="10" t="str">
        <f t="shared" si="2"/>
        <v/>
      </c>
    </row>
    <row r="84">
      <c r="B84" s="53"/>
      <c r="C84" s="48"/>
      <c r="D84" s="53"/>
      <c r="E84" s="53"/>
      <c r="F84" s="54"/>
      <c r="G84" s="56"/>
      <c r="H84" s="10" t="str">
        <f t="shared" si="2"/>
        <v/>
      </c>
    </row>
    <row r="85">
      <c r="B85" s="53"/>
      <c r="C85" s="48"/>
      <c r="D85" s="53"/>
      <c r="E85" s="53"/>
      <c r="F85" s="54"/>
      <c r="G85" s="56"/>
      <c r="H85" s="10" t="str">
        <f t="shared" si="2"/>
        <v/>
      </c>
    </row>
    <row r="86">
      <c r="B86" s="53"/>
      <c r="C86" s="48"/>
      <c r="D86" s="53"/>
      <c r="E86" s="53"/>
      <c r="F86" s="54"/>
      <c r="G86" s="56"/>
      <c r="H86" s="10" t="str">
        <f t="shared" si="2"/>
        <v/>
      </c>
    </row>
    <row r="87">
      <c r="B87" s="53"/>
      <c r="C87" s="48"/>
      <c r="D87" s="53"/>
      <c r="E87" s="53"/>
      <c r="F87" s="54"/>
      <c r="G87" s="56"/>
      <c r="H87" s="10" t="str">
        <f t="shared" si="2"/>
        <v/>
      </c>
    </row>
    <row r="88">
      <c r="B88" s="53"/>
      <c r="C88" s="48"/>
      <c r="D88" s="53"/>
      <c r="E88" s="53"/>
      <c r="F88" s="54"/>
      <c r="G88" s="56"/>
      <c r="H88" s="10" t="str">
        <f t="shared" si="2"/>
        <v/>
      </c>
    </row>
    <row r="89">
      <c r="B89" s="53"/>
      <c r="C89" s="48"/>
      <c r="D89" s="53"/>
      <c r="E89" s="53"/>
      <c r="F89" s="54"/>
      <c r="G89" s="56"/>
      <c r="H89" s="10" t="str">
        <f t="shared" si="2"/>
        <v/>
      </c>
    </row>
    <row r="90">
      <c r="B90" s="53"/>
      <c r="C90" s="48"/>
      <c r="D90" s="53"/>
      <c r="E90" s="53"/>
      <c r="F90" s="54"/>
      <c r="G90" s="56"/>
      <c r="H90" s="10" t="str">
        <f t="shared" si="2"/>
        <v/>
      </c>
    </row>
    <row r="91">
      <c r="B91" s="53"/>
      <c r="C91" s="48"/>
      <c r="D91" s="53"/>
      <c r="E91" s="53"/>
      <c r="F91" s="54"/>
      <c r="G91" s="56"/>
      <c r="H91" s="10" t="str">
        <f t="shared" si="2"/>
        <v/>
      </c>
    </row>
    <row r="92">
      <c r="B92" s="53"/>
      <c r="C92" s="48"/>
      <c r="D92" s="53"/>
      <c r="E92" s="53"/>
      <c r="F92" s="54"/>
      <c r="G92" s="56"/>
      <c r="H92" s="10" t="str">
        <f t="shared" si="2"/>
        <v/>
      </c>
    </row>
    <row r="93">
      <c r="B93" s="53"/>
      <c r="C93" s="48"/>
      <c r="D93" s="53"/>
      <c r="E93" s="53"/>
      <c r="F93" s="54"/>
      <c r="G93" s="56"/>
      <c r="H93" s="10" t="str">
        <f t="shared" si="2"/>
        <v/>
      </c>
    </row>
    <row r="94">
      <c r="B94" s="53"/>
      <c r="C94" s="48"/>
      <c r="D94" s="53"/>
      <c r="E94" s="53"/>
      <c r="F94" s="54"/>
      <c r="G94" s="56"/>
      <c r="H94" s="10" t="str">
        <f t="shared" si="2"/>
        <v/>
      </c>
    </row>
    <row r="95">
      <c r="B95" s="53"/>
      <c r="C95" s="48"/>
      <c r="D95" s="53"/>
      <c r="E95" s="53"/>
      <c r="F95" s="54"/>
      <c r="G95" s="56"/>
      <c r="H95" s="10" t="str">
        <f t="shared" si="2"/>
        <v/>
      </c>
    </row>
    <row r="96">
      <c r="B96" s="53"/>
      <c r="C96" s="48"/>
      <c r="D96" s="53"/>
      <c r="E96" s="53"/>
      <c r="F96" s="54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1"/>
      <c r="D1" s="41"/>
    </row>
    <row r="2" ht="15.75" customHeight="1">
      <c r="B2" s="95" t="s">
        <v>139</v>
      </c>
      <c r="C2" s="31"/>
      <c r="D2" s="4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6" t="s">
        <v>165</v>
      </c>
      <c r="C12" s="107" t="s">
        <v>166</v>
      </c>
      <c r="D12" s="98" t="s">
        <v>167</v>
      </c>
    </row>
    <row r="13" ht="67.5" customHeight="1">
      <c r="B13" s="106" t="s">
        <v>168</v>
      </c>
      <c r="C13" s="107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6" t="s">
        <v>183</v>
      </c>
      <c r="C18" s="107" t="s">
        <v>184</v>
      </c>
      <c r="D18" s="98" t="s">
        <v>185</v>
      </c>
    </row>
    <row r="20" ht="19.5" customHeight="1">
      <c r="B20" s="115" t="s">
        <v>186</v>
      </c>
      <c r="C20" s="31"/>
      <c r="D20" s="41"/>
    </row>
    <row r="21" ht="18.0" customHeight="1">
      <c r="B21" s="116" t="s">
        <v>15</v>
      </c>
      <c r="C21" s="116" t="s">
        <v>187</v>
      </c>
      <c r="D21" s="116" t="s">
        <v>188</v>
      </c>
    </row>
    <row r="22" ht="16.5" customHeight="1">
      <c r="B22" s="117" t="s">
        <v>80</v>
      </c>
      <c r="C22" s="118" t="s">
        <v>189</v>
      </c>
      <c r="D22" s="121" t="s">
        <v>192</v>
      </c>
    </row>
    <row r="23" ht="16.5" customHeight="1">
      <c r="B23" s="117" t="s">
        <v>45</v>
      </c>
      <c r="C23" s="118" t="s">
        <v>194</v>
      </c>
      <c r="D23" s="121" t="s">
        <v>196</v>
      </c>
    </row>
    <row r="24" ht="16.5" customHeight="1">
      <c r="B24" s="123" t="s">
        <v>197</v>
      </c>
      <c r="C24" s="125" t="s">
        <v>199</v>
      </c>
      <c r="D24" s="121" t="s">
        <v>200</v>
      </c>
    </row>
    <row r="25" ht="16.5" customHeight="1">
      <c r="B25" s="117" t="s">
        <v>202</v>
      </c>
      <c r="C25" s="118" t="s">
        <v>203</v>
      </c>
      <c r="D25" s="121" t="s">
        <v>204</v>
      </c>
    </row>
    <row r="26" ht="16.5" customHeight="1">
      <c r="B26" s="126" t="s">
        <v>73</v>
      </c>
      <c r="C26" s="127" t="s">
        <v>207</v>
      </c>
      <c r="D26" s="121" t="s">
        <v>208</v>
      </c>
    </row>
    <row r="27" ht="16.5" customHeight="1">
      <c r="B27" s="128" t="s">
        <v>210</v>
      </c>
      <c r="C27" s="129" t="s">
        <v>211</v>
      </c>
      <c r="D27" s="121" t="s">
        <v>212</v>
      </c>
    </row>
    <row r="28" ht="16.5" customHeight="1">
      <c r="B28" s="117" t="s">
        <v>113</v>
      </c>
      <c r="C28" s="118" t="s">
        <v>214</v>
      </c>
      <c r="D28" s="121" t="s">
        <v>215</v>
      </c>
    </row>
    <row r="29" ht="16.5" customHeight="1">
      <c r="B29" s="117" t="s">
        <v>109</v>
      </c>
      <c r="C29" s="118" t="s">
        <v>218</v>
      </c>
      <c r="D29" s="121" t="s">
        <v>219</v>
      </c>
    </row>
    <row r="30" ht="16.5" customHeight="1">
      <c r="B30" s="126" t="s">
        <v>32</v>
      </c>
      <c r="C30" s="127" t="s">
        <v>222</v>
      </c>
      <c r="D30" s="121" t="s">
        <v>223</v>
      </c>
    </row>
    <row r="31" ht="16.5" customHeight="1">
      <c r="B31" s="126" t="s">
        <v>96</v>
      </c>
      <c r="C31" s="127" t="s">
        <v>225</v>
      </c>
      <c r="D31" s="121" t="s">
        <v>226</v>
      </c>
    </row>
    <row r="32" ht="16.5" customHeight="1">
      <c r="B32" s="130" t="s">
        <v>227</v>
      </c>
      <c r="C32" s="131" t="s">
        <v>229</v>
      </c>
      <c r="D32" s="121" t="s">
        <v>232</v>
      </c>
    </row>
    <row r="33" ht="16.5" customHeight="1">
      <c r="B33" s="117" t="s">
        <v>41</v>
      </c>
      <c r="C33" s="118" t="s">
        <v>236</v>
      </c>
      <c r="D33" s="121" t="s">
        <v>237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190</v>
      </c>
      <c r="B1" s="119" t="s">
        <v>191</v>
      </c>
      <c r="C1" s="119" t="s">
        <v>18</v>
      </c>
      <c r="D1" s="119"/>
      <c r="E1" s="119"/>
    </row>
    <row r="2">
      <c r="A2" s="120">
        <v>46165.0</v>
      </c>
      <c r="B2" s="119" t="s">
        <v>193</v>
      </c>
      <c r="C2" s="122">
        <v>10000.0</v>
      </c>
      <c r="D2" s="119"/>
      <c r="E2" s="119"/>
    </row>
    <row r="3">
      <c r="A3" s="120">
        <v>46166.0</v>
      </c>
      <c r="B3" s="119" t="s">
        <v>195</v>
      </c>
      <c r="C3" s="122">
        <v>19000.0</v>
      </c>
      <c r="D3" s="119"/>
      <c r="E3" s="119"/>
    </row>
    <row r="4">
      <c r="A4" s="120">
        <v>46168.0</v>
      </c>
      <c r="B4" s="119" t="s">
        <v>198</v>
      </c>
      <c r="C4" s="124">
        <v>2500.0</v>
      </c>
      <c r="D4" s="119"/>
      <c r="E4" s="119"/>
    </row>
    <row r="5">
      <c r="A5" s="120">
        <v>46169.0</v>
      </c>
      <c r="B5" s="119" t="s">
        <v>201</v>
      </c>
      <c r="C5" s="122">
        <v>29050.0</v>
      </c>
      <c r="D5" s="119"/>
      <c r="E5" s="119"/>
    </row>
    <row r="6">
      <c r="A6" s="120">
        <v>46169.0</v>
      </c>
      <c r="B6" s="119" t="s">
        <v>205</v>
      </c>
      <c r="C6" s="124">
        <v>100.0</v>
      </c>
      <c r="D6" s="119"/>
      <c r="E6" s="119"/>
    </row>
    <row r="7">
      <c r="A7" s="120">
        <v>46169.0</v>
      </c>
      <c r="B7" s="119" t="s">
        <v>206</v>
      </c>
      <c r="C7" s="124">
        <v>300.0</v>
      </c>
      <c r="D7" s="119"/>
      <c r="E7" s="119"/>
    </row>
    <row r="8">
      <c r="A8" s="120">
        <v>46169.0</v>
      </c>
      <c r="B8" s="119" t="s">
        <v>209</v>
      </c>
      <c r="C8" s="124">
        <v>370.0</v>
      </c>
      <c r="D8" s="119"/>
      <c r="E8" s="119"/>
    </row>
    <row r="9">
      <c r="A9" s="120">
        <v>46169.0</v>
      </c>
      <c r="B9" s="119" t="s">
        <v>105</v>
      </c>
      <c r="C9" s="124">
        <v>2494.0</v>
      </c>
      <c r="D9" s="119"/>
      <c r="E9" s="119"/>
    </row>
    <row r="10">
      <c r="A10" s="120">
        <v>46169.0</v>
      </c>
      <c r="B10" s="119" t="s">
        <v>213</v>
      </c>
      <c r="C10" s="124">
        <v>5000.0</v>
      </c>
      <c r="D10" s="119"/>
      <c r="E10" s="119"/>
    </row>
    <row r="11">
      <c r="A11" s="120">
        <v>46169.0</v>
      </c>
      <c r="B11" s="119" t="s">
        <v>216</v>
      </c>
      <c r="C11" s="122">
        <v>29000.0</v>
      </c>
      <c r="D11" s="119" t="s">
        <v>217</v>
      </c>
      <c r="E11" s="124">
        <v>24000.0</v>
      </c>
    </row>
    <row r="12">
      <c r="A12" s="120">
        <v>46169.0</v>
      </c>
      <c r="B12" s="119" t="s">
        <v>220</v>
      </c>
      <c r="C12" s="124">
        <v>400.0</v>
      </c>
      <c r="D12" s="119" t="s">
        <v>221</v>
      </c>
      <c r="E12" s="122">
        <v>53000.0</v>
      </c>
    </row>
    <row r="13">
      <c r="A13" s="120">
        <v>46169.0</v>
      </c>
      <c r="B13" s="119" t="s">
        <v>224</v>
      </c>
      <c r="C13" s="124">
        <v>600.0</v>
      </c>
      <c r="D13" s="119"/>
      <c r="E13" s="119"/>
    </row>
    <row r="14">
      <c r="A14" s="120">
        <v>46170.0</v>
      </c>
      <c r="B14" s="119"/>
      <c r="C14" s="119"/>
      <c r="D14" s="119"/>
      <c r="E14" s="119"/>
    </row>
    <row r="22">
      <c r="A22" s="119" t="s">
        <v>228</v>
      </c>
      <c r="B22" s="119" t="s">
        <v>190</v>
      </c>
      <c r="C22" s="119" t="s">
        <v>230</v>
      </c>
      <c r="D22" s="119" t="s">
        <v>18</v>
      </c>
      <c r="E22" s="119" t="s">
        <v>231</v>
      </c>
    </row>
    <row r="23">
      <c r="A23" s="119" t="s">
        <v>233</v>
      </c>
      <c r="B23" s="119" t="s">
        <v>234</v>
      </c>
      <c r="C23" s="119" t="s">
        <v>235</v>
      </c>
      <c r="D23" s="124">
        <v>3150.0</v>
      </c>
      <c r="E23" s="132">
        <v>46464.0</v>
      </c>
    </row>
    <row r="24">
      <c r="A24" s="119" t="s">
        <v>233</v>
      </c>
      <c r="B24" s="119" t="s">
        <v>234</v>
      </c>
      <c r="C24" s="119" t="s">
        <v>238</v>
      </c>
      <c r="D24" s="124">
        <v>2650.0</v>
      </c>
      <c r="E24" s="132">
        <v>46219.0</v>
      </c>
    </row>
    <row r="25">
      <c r="A25" s="119" t="s">
        <v>233</v>
      </c>
      <c r="B25" s="119" t="s">
        <v>234</v>
      </c>
      <c r="C25" s="119" t="s">
        <v>239</v>
      </c>
      <c r="D25" s="124">
        <v>2600.0</v>
      </c>
      <c r="E25" s="132">
        <v>46828.0</v>
      </c>
    </row>
    <row r="26">
      <c r="A26" s="119" t="s">
        <v>233</v>
      </c>
      <c r="B26" s="119" t="s">
        <v>234</v>
      </c>
      <c r="C26" s="119" t="s">
        <v>240</v>
      </c>
      <c r="D26" s="124">
        <v>2680.0</v>
      </c>
      <c r="E26" s="133">
        <v>46863.0</v>
      </c>
    </row>
    <row r="27">
      <c r="A27" s="119" t="s">
        <v>107</v>
      </c>
      <c r="B27" s="119" t="s">
        <v>241</v>
      </c>
      <c r="C27" s="119" t="s">
        <v>242</v>
      </c>
      <c r="D27" s="124">
        <v>5390.0</v>
      </c>
      <c r="E27" s="132">
        <v>46764.0</v>
      </c>
    </row>
    <row r="28">
      <c r="A28" s="119" t="s">
        <v>107</v>
      </c>
      <c r="B28" s="119" t="s">
        <v>241</v>
      </c>
      <c r="C28" s="119" t="s">
        <v>243</v>
      </c>
      <c r="D28" s="124">
        <v>3235.0</v>
      </c>
      <c r="E28" s="132">
        <v>46673.0</v>
      </c>
    </row>
    <row r="29">
      <c r="A29" s="119" t="s">
        <v>107</v>
      </c>
      <c r="B29" s="119" t="s">
        <v>241</v>
      </c>
      <c r="C29" s="119" t="s">
        <v>245</v>
      </c>
      <c r="D29" s="124">
        <v>1230.0</v>
      </c>
      <c r="E29" s="119" t="s">
        <v>246</v>
      </c>
    </row>
    <row r="30">
      <c r="A30" s="119" t="s">
        <v>247</v>
      </c>
      <c r="B30" s="119"/>
      <c r="C30" s="119" t="s">
        <v>235</v>
      </c>
      <c r="D30" s="134">
        <v>2970.0</v>
      </c>
      <c r="E30" s="119"/>
    </row>
    <row r="31">
      <c r="A31" s="119" t="s">
        <v>247</v>
      </c>
      <c r="B31" s="119"/>
      <c r="C31" s="119" t="s">
        <v>242</v>
      </c>
      <c r="D31" s="134">
        <v>2970.0</v>
      </c>
      <c r="E31" s="119"/>
    </row>
    <row r="32">
      <c r="A32" s="119" t="s">
        <v>248</v>
      </c>
      <c r="B32" s="119" t="s">
        <v>249</v>
      </c>
      <c r="C32" s="119"/>
      <c r="D32" s="124">
        <v>5000.0</v>
      </c>
      <c r="E32" s="119" t="s">
        <v>250</v>
      </c>
    </row>
    <row r="42">
      <c r="A42" s="135" t="s">
        <v>251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36" t="s">
        <v>6</v>
      </c>
      <c r="B45" s="136" t="s">
        <v>252</v>
      </c>
      <c r="C45" s="136" t="s">
        <v>253</v>
      </c>
      <c r="D45" s="136" t="s">
        <v>100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3">
        <v>60.0</v>
      </c>
      <c r="F46" s="143">
        <v>0.0</v>
      </c>
      <c r="G46" s="143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274</v>
      </c>
      <c r="B48" s="155"/>
      <c r="C48" s="156"/>
      <c r="D48" s="138">
        <f>IF(AND(B48&lt;&gt;"", C48&lt;&gt;"", E48&lt;&gt;""), PMT(C48/12, E48, -B48), 15250)</f>
        <v>15250</v>
      </c>
      <c r="E48" s="157"/>
      <c r="F48" s="143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43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7" t="s">
        <v>276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3">
        <v>18.0</v>
      </c>
      <c r="F50" s="143">
        <v>3.0</v>
      </c>
      <c r="G50" s="143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5" t="s">
        <v>277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7" t="s">
        <v>278</v>
      </c>
      <c r="B52" s="155"/>
      <c r="C52" s="156"/>
      <c r="D52" s="138">
        <f>IF(AND(B52&lt;&gt;"", C52&lt;&gt;"", E52&lt;&gt;""), PMT(C52/12, E52, -B52), 3850)</f>
        <v>3850</v>
      </c>
      <c r="E52" s="157"/>
      <c r="F52" s="143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190</v>
      </c>
      <c r="B61" s="170" t="s">
        <v>279</v>
      </c>
      <c r="C61" s="170" t="s">
        <v>18</v>
      </c>
      <c r="D61" s="170" t="s">
        <v>280</v>
      </c>
      <c r="E61" s="170" t="s">
        <v>281</v>
      </c>
      <c r="F61" s="170" t="s">
        <v>282</v>
      </c>
      <c r="G61" s="170" t="s">
        <v>18</v>
      </c>
      <c r="H61" s="119"/>
      <c r="I61" s="170" t="s">
        <v>283</v>
      </c>
      <c r="J61" s="119" t="s">
        <v>284</v>
      </c>
    </row>
    <row r="62">
      <c r="A62" s="120">
        <v>46143.0</v>
      </c>
      <c r="B62" s="119" t="s">
        <v>263</v>
      </c>
      <c r="C62" s="171">
        <v>11839.0</v>
      </c>
      <c r="D62" s="172" t="b">
        <v>1</v>
      </c>
      <c r="E62" s="119" t="s">
        <v>285</v>
      </c>
      <c r="F62" s="119" t="s">
        <v>286</v>
      </c>
      <c r="G62" s="171">
        <v>71000.0</v>
      </c>
      <c r="H62" s="119"/>
      <c r="I62" s="170" t="s">
        <v>287</v>
      </c>
      <c r="J62" s="171">
        <f>SUM(C62:C1000)</f>
        <v>84657</v>
      </c>
    </row>
    <row r="63">
      <c r="A63" s="120">
        <v>46144.0</v>
      </c>
      <c r="B63" s="119" t="s">
        <v>288</v>
      </c>
      <c r="C63" s="171">
        <v>3850.0</v>
      </c>
      <c r="D63" s="172" t="b">
        <v>1</v>
      </c>
      <c r="E63" s="119" t="s">
        <v>289</v>
      </c>
      <c r="F63" s="119"/>
      <c r="G63" s="173"/>
      <c r="H63" s="119"/>
      <c r="I63" s="170" t="s">
        <v>257</v>
      </c>
      <c r="J63" s="171">
        <f>SUMIFS(C62:C1000, D62:D1000, TRUE)</f>
        <v>50435</v>
      </c>
    </row>
    <row r="64">
      <c r="A64" s="120">
        <v>46145.0</v>
      </c>
      <c r="B64" s="119" t="s">
        <v>290</v>
      </c>
      <c r="C64" s="171">
        <v>4627.0</v>
      </c>
      <c r="D64" s="172" t="b">
        <v>1</v>
      </c>
      <c r="E64" s="119"/>
      <c r="F64" s="119"/>
      <c r="G64" s="173"/>
      <c r="H64" s="119"/>
      <c r="I64" s="170" t="s">
        <v>291</v>
      </c>
      <c r="J64" s="171">
        <f>SUMIFS(C62:C1000, D62:D1000, FALSE)</f>
        <v>34222</v>
      </c>
    </row>
    <row r="65">
      <c r="A65" s="120">
        <v>46147.0</v>
      </c>
      <c r="B65" s="119" t="s">
        <v>292</v>
      </c>
      <c r="C65" s="171">
        <v>5000.0</v>
      </c>
      <c r="D65" s="172" t="b">
        <v>1</v>
      </c>
      <c r="E65" s="119"/>
      <c r="F65" s="119"/>
      <c r="G65" s="173"/>
      <c r="H65" s="119"/>
      <c r="I65" s="170" t="s">
        <v>293</v>
      </c>
      <c r="J65" s="171">
        <f>SUM(G62:G1000)</f>
        <v>71000</v>
      </c>
    </row>
    <row r="66">
      <c r="A66" s="120">
        <v>46167.0</v>
      </c>
      <c r="B66" s="119" t="s">
        <v>294</v>
      </c>
      <c r="C66" s="171">
        <v>18972.0</v>
      </c>
      <c r="D66" s="172" t="b">
        <v>0</v>
      </c>
      <c r="E66" s="174">
        <v>97110.0</v>
      </c>
      <c r="F66" s="119"/>
      <c r="G66" s="173"/>
      <c r="H66" s="119"/>
      <c r="I66" s="170" t="s">
        <v>295</v>
      </c>
      <c r="J66" s="171">
        <f>J65-J62</f>
        <v>-13657</v>
      </c>
    </row>
    <row r="67">
      <c r="A67" s="120">
        <v>46146.0</v>
      </c>
      <c r="B67" s="119" t="s">
        <v>296</v>
      </c>
      <c r="C67" s="171">
        <v>13625.0</v>
      </c>
      <c r="D67" s="172" t="b">
        <v>1</v>
      </c>
      <c r="E67" s="119" t="s">
        <v>297</v>
      </c>
      <c r="F67" s="119"/>
      <c r="G67" s="173"/>
      <c r="H67" s="119"/>
      <c r="I67" s="119"/>
      <c r="J67" s="119"/>
    </row>
    <row r="68">
      <c r="A68" s="120">
        <v>46145.0</v>
      </c>
      <c r="B68" s="119" t="s">
        <v>298</v>
      </c>
      <c r="C68" s="171">
        <v>2494.0</v>
      </c>
      <c r="D68" s="172" t="b">
        <v>1</v>
      </c>
      <c r="E68" s="119"/>
      <c r="F68" s="119"/>
      <c r="G68" s="173"/>
      <c r="H68" s="119"/>
      <c r="I68" s="119"/>
      <c r="J68" s="119"/>
    </row>
    <row r="69">
      <c r="A69" s="120">
        <v>46144.0</v>
      </c>
      <c r="B69" s="119" t="s">
        <v>299</v>
      </c>
      <c r="C69" s="171">
        <v>4500.0</v>
      </c>
      <c r="D69" s="172" t="b">
        <v>1</v>
      </c>
      <c r="E69" s="119"/>
      <c r="F69" s="119"/>
      <c r="G69" s="173"/>
      <c r="H69" s="119"/>
      <c r="I69" s="119"/>
      <c r="J69" s="119"/>
    </row>
    <row r="70">
      <c r="A70" s="120">
        <v>46152.0</v>
      </c>
      <c r="B70" s="119" t="s">
        <v>300</v>
      </c>
      <c r="C70" s="171">
        <v>1500.0</v>
      </c>
      <c r="D70" s="172" t="b">
        <v>1</v>
      </c>
      <c r="E70" s="119"/>
      <c r="F70" s="119"/>
      <c r="G70" s="173"/>
      <c r="H70" s="119"/>
      <c r="I70" s="119"/>
      <c r="J70" s="119"/>
    </row>
    <row r="71">
      <c r="A71" s="120">
        <v>46152.0</v>
      </c>
      <c r="B71" s="119" t="s">
        <v>301</v>
      </c>
      <c r="C71" s="171">
        <v>3000.0</v>
      </c>
      <c r="D71" s="172" t="b">
        <v>1</v>
      </c>
      <c r="E71" s="119"/>
      <c r="F71" s="119"/>
      <c r="G71" s="173"/>
      <c r="H71" s="119"/>
      <c r="I71" s="119"/>
      <c r="J71" s="119"/>
    </row>
    <row r="72">
      <c r="A72" s="120">
        <v>46157.0</v>
      </c>
      <c r="B72" s="119" t="s">
        <v>302</v>
      </c>
      <c r="C72" s="171">
        <v>15250.0</v>
      </c>
      <c r="D72" s="172" t="b">
        <v>0</v>
      </c>
      <c r="E72" s="119"/>
      <c r="F72" s="119"/>
      <c r="G72" s="173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190</v>
      </c>
      <c r="B1" s="141" t="s">
        <v>261</v>
      </c>
      <c r="C1" s="141" t="s">
        <v>262</v>
      </c>
      <c r="D1" s="141" t="s">
        <v>13</v>
      </c>
    </row>
    <row r="2">
      <c r="A2" s="142">
        <v>46060.0</v>
      </c>
      <c r="B2" s="9" t="s">
        <v>263</v>
      </c>
      <c r="C2" s="144">
        <v>12000.0</v>
      </c>
      <c r="D2" s="9" t="s">
        <v>264</v>
      </c>
    </row>
    <row r="3">
      <c r="A3" s="142">
        <v>46060.0</v>
      </c>
      <c r="B3" s="9" t="s">
        <v>265</v>
      </c>
      <c r="C3" s="9">
        <v>4600.0</v>
      </c>
      <c r="D3" s="9" t="s">
        <v>266</v>
      </c>
    </row>
    <row r="4">
      <c r="A4" s="145" t="s">
        <v>267</v>
      </c>
      <c r="B4" s="9" t="s">
        <v>268</v>
      </c>
      <c r="C4" s="144">
        <v>15500.0</v>
      </c>
      <c r="D4" s="9" t="s">
        <v>269</v>
      </c>
    </row>
    <row r="5">
      <c r="A5" s="145" t="s">
        <v>270</v>
      </c>
      <c r="B5" s="9" t="s">
        <v>271</v>
      </c>
      <c r="C5" s="9">
        <v>2000.0</v>
      </c>
      <c r="D5" s="9" t="s">
        <v>272</v>
      </c>
    </row>
    <row r="6">
      <c r="A6" s="147"/>
    </row>
    <row r="7">
      <c r="A7" s="147"/>
    </row>
    <row r="8">
      <c r="A8" s="147"/>
    </row>
    <row r="9">
      <c r="A9" s="147"/>
    </row>
    <row r="10">
      <c r="A10" s="147"/>
    </row>
    <row r="11">
      <c r="A11" s="147"/>
    </row>
    <row r="12">
      <c r="A12" s="147"/>
    </row>
    <row r="13">
      <c r="A13" s="147"/>
    </row>
    <row r="14">
      <c r="A14" s="147"/>
    </row>
    <row r="15">
      <c r="A15" s="147"/>
    </row>
    <row r="16">
      <c r="A16" s="147"/>
    </row>
    <row r="17">
      <c r="A17" s="147"/>
    </row>
    <row r="18">
      <c r="A18" s="147"/>
    </row>
    <row r="19">
      <c r="A19" s="147"/>
    </row>
    <row r="20">
      <c r="A20" s="147"/>
    </row>
    <row r="21">
      <c r="A21" s="147"/>
    </row>
    <row r="22">
      <c r="A22" s="147"/>
    </row>
    <row r="23">
      <c r="A23" s="147"/>
    </row>
    <row r="24">
      <c r="A24" s="147"/>
    </row>
    <row r="25">
      <c r="A25" s="147"/>
    </row>
    <row r="26">
      <c r="A26" s="147"/>
    </row>
    <row r="27">
      <c r="A27" s="147"/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