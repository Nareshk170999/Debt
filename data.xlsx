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<sst xmlns="http://schemas.openxmlformats.org/spreadsheetml/2006/main" count="444" uniqueCount="337">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</sst>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106763</v>
      </c>
      <c r="F5" s="57">
        <f t="shared" ref="F5:F59" si="2">C5-D5-E5</f>
        <v>-90099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8"/>
      <c r="B37" s="108"/>
      <c r="C37" s="109"/>
      <c r="D37" s="108"/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177</v>
      </c>
    </row>
    <row r="4">
      <c r="B4" s="111" t="s">
        <v>178</v>
      </c>
      <c r="C4" s="111" t="s">
        <v>179</v>
      </c>
      <c r="D4" s="111" t="s">
        <v>180</v>
      </c>
      <c r="E4" s="111" t="s">
        <v>181</v>
      </c>
      <c r="F4" s="111" t="s">
        <v>182</v>
      </c>
      <c r="G4" s="111" t="s">
        <v>183</v>
      </c>
      <c r="H4" s="112" t="s">
        <v>184</v>
      </c>
    </row>
    <row r="5">
      <c r="B5" s="113">
        <v>55.8</v>
      </c>
      <c r="C5" s="114">
        <v>0.11</v>
      </c>
      <c r="D5" s="113" t="s">
        <v>185</v>
      </c>
      <c r="E5" s="113" t="s">
        <v>186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22892.85041</v>
      </c>
    </row>
    <row r="6">
      <c r="B6" s="113">
        <v>30.0</v>
      </c>
      <c r="C6" s="114">
        <v>0.1</v>
      </c>
      <c r="D6" s="113" t="s">
        <v>185</v>
      </c>
      <c r="E6" s="113" t="s">
        <v>187</v>
      </c>
      <c r="F6" s="115">
        <v>229500.0</v>
      </c>
      <c r="G6" s="116">
        <v>45966.0</v>
      </c>
      <c r="H6" s="10">
        <f t="shared" si="1"/>
        <v>14964.65753</v>
      </c>
    </row>
    <row r="7">
      <c r="B7" s="113">
        <v>36.9</v>
      </c>
      <c r="C7" s="114">
        <v>0.105</v>
      </c>
      <c r="D7" s="113" t="s">
        <v>185</v>
      </c>
      <c r="E7" s="113" t="s">
        <v>188</v>
      </c>
      <c r="F7" s="115">
        <v>300000.0</v>
      </c>
      <c r="G7" s="116">
        <v>46169.0</v>
      </c>
      <c r="H7" s="10">
        <f t="shared" si="1"/>
        <v>3020.547945</v>
      </c>
    </row>
    <row r="8">
      <c r="B8" s="113">
        <v>15.0</v>
      </c>
      <c r="C8" s="117"/>
      <c r="D8" s="113" t="s">
        <v>185</v>
      </c>
      <c r="E8" s="113" t="s">
        <v>188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185</v>
      </c>
      <c r="E9" s="113" t="s">
        <v>189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190</v>
      </c>
      <c r="C1" s="43"/>
      <c r="D1" s="44"/>
    </row>
    <row r="2" ht="15.75" customHeight="1">
      <c r="B2" s="122" t="s">
        <v>191</v>
      </c>
      <c r="C2" s="43"/>
      <c r="D2" s="44"/>
    </row>
    <row r="3" ht="7.5" customHeight="1"/>
    <row r="4" ht="66.75" customHeight="1">
      <c r="B4" s="123" t="s">
        <v>192</v>
      </c>
      <c r="C4" s="124" t="s">
        <v>193</v>
      </c>
      <c r="D4" s="125" t="s">
        <v>194</v>
      </c>
    </row>
    <row r="5" ht="48.75" customHeight="1">
      <c r="B5" s="123" t="s">
        <v>195</v>
      </c>
      <c r="C5" s="124" t="s">
        <v>196</v>
      </c>
      <c r="D5" s="125" t="s">
        <v>197</v>
      </c>
    </row>
    <row r="6" ht="54.75" customHeight="1">
      <c r="B6" s="123" t="s">
        <v>198</v>
      </c>
      <c r="C6" s="124" t="s">
        <v>199</v>
      </c>
      <c r="D6" s="125" t="s">
        <v>200</v>
      </c>
    </row>
    <row r="7" ht="31.5" customHeight="1">
      <c r="B7" s="123" t="s">
        <v>201</v>
      </c>
      <c r="C7" s="124" t="s">
        <v>202</v>
      </c>
      <c r="D7" s="125" t="s">
        <v>203</v>
      </c>
    </row>
    <row r="8" ht="75.75" customHeight="1">
      <c r="B8" s="126" t="s">
        <v>204</v>
      </c>
      <c r="C8" s="127" t="s">
        <v>205</v>
      </c>
      <c r="D8" s="125" t="s">
        <v>206</v>
      </c>
    </row>
    <row r="9" ht="42.0" customHeight="1">
      <c r="B9" s="126" t="s">
        <v>207</v>
      </c>
      <c r="C9" s="127" t="s">
        <v>208</v>
      </c>
      <c r="D9" s="125" t="s">
        <v>209</v>
      </c>
    </row>
    <row r="10" ht="64.5" customHeight="1">
      <c r="B10" s="128" t="s">
        <v>210</v>
      </c>
      <c r="C10" s="129" t="s">
        <v>211</v>
      </c>
      <c r="D10" s="125" t="s">
        <v>212</v>
      </c>
    </row>
    <row r="11" ht="60.0" customHeight="1">
      <c r="B11" s="128" t="s">
        <v>213</v>
      </c>
      <c r="C11" s="129" t="s">
        <v>214</v>
      </c>
      <c r="D11" s="125" t="s">
        <v>215</v>
      </c>
    </row>
    <row r="12" ht="82.5" customHeight="1">
      <c r="B12" s="130" t="s">
        <v>216</v>
      </c>
      <c r="C12" s="131" t="s">
        <v>217</v>
      </c>
      <c r="D12" s="125" t="s">
        <v>218</v>
      </c>
    </row>
    <row r="13" ht="67.5" customHeight="1">
      <c r="B13" s="130" t="s">
        <v>219</v>
      </c>
      <c r="C13" s="131" t="s">
        <v>220</v>
      </c>
      <c r="D13" s="125" t="s">
        <v>221</v>
      </c>
    </row>
    <row r="14" ht="81.75" customHeight="1">
      <c r="B14" s="132" t="s">
        <v>222</v>
      </c>
      <c r="C14" s="133" t="s">
        <v>223</v>
      </c>
      <c r="D14" s="125" t="s">
        <v>224</v>
      </c>
    </row>
    <row r="15" ht="72.0" customHeight="1">
      <c r="B15" s="134" t="s">
        <v>225</v>
      </c>
      <c r="C15" s="135" t="s">
        <v>226</v>
      </c>
      <c r="D15" s="125" t="s">
        <v>227</v>
      </c>
    </row>
    <row r="16" ht="61.5" customHeight="1">
      <c r="B16" s="128" t="s">
        <v>228</v>
      </c>
      <c r="C16" s="129" t="s">
        <v>229</v>
      </c>
      <c r="D16" s="125" t="s">
        <v>230</v>
      </c>
    </row>
    <row r="17" ht="67.5" customHeight="1">
      <c r="B17" s="134" t="s">
        <v>231</v>
      </c>
      <c r="C17" s="135" t="s">
        <v>232</v>
      </c>
      <c r="D17" s="125" t="s">
        <v>233</v>
      </c>
    </row>
    <row r="18" ht="66.75" customHeight="1">
      <c r="B18" s="130" t="s">
        <v>234</v>
      </c>
      <c r="C18" s="131" t="s">
        <v>235</v>
      </c>
      <c r="D18" s="125" t="s">
        <v>236</v>
      </c>
    </row>
    <row r="20" ht="19.5" customHeight="1">
      <c r="B20" s="136" t="s">
        <v>237</v>
      </c>
      <c r="C20" s="43"/>
      <c r="D20" s="44"/>
    </row>
    <row r="21" ht="18.0" customHeight="1">
      <c r="B21" s="137" t="s">
        <v>70</v>
      </c>
      <c r="C21" s="137" t="s">
        <v>238</v>
      </c>
      <c r="D21" s="137" t="s">
        <v>239</v>
      </c>
    </row>
    <row r="22" ht="16.5" customHeight="1">
      <c r="B22" s="138" t="s">
        <v>38</v>
      </c>
      <c r="C22" s="139" t="s">
        <v>240</v>
      </c>
      <c r="D22" s="140" t="s">
        <v>241</v>
      </c>
    </row>
    <row r="23" ht="16.5" customHeight="1">
      <c r="B23" s="138" t="s">
        <v>26</v>
      </c>
      <c r="C23" s="139" t="s">
        <v>242</v>
      </c>
      <c r="D23" s="140" t="s">
        <v>243</v>
      </c>
    </row>
    <row r="24" ht="16.5" customHeight="1">
      <c r="B24" s="141" t="s">
        <v>83</v>
      </c>
      <c r="C24" s="142" t="s">
        <v>244</v>
      </c>
      <c r="D24" s="140" t="s">
        <v>245</v>
      </c>
    </row>
    <row r="25" ht="16.5" customHeight="1">
      <c r="B25" s="138" t="s">
        <v>85</v>
      </c>
      <c r="C25" s="139" t="s">
        <v>246</v>
      </c>
      <c r="D25" s="140" t="s">
        <v>247</v>
      </c>
    </row>
    <row r="26" ht="16.5" customHeight="1">
      <c r="B26" s="143" t="s">
        <v>35</v>
      </c>
      <c r="C26" s="144" t="s">
        <v>248</v>
      </c>
      <c r="D26" s="140" t="s">
        <v>249</v>
      </c>
    </row>
    <row r="27" ht="16.5" customHeight="1">
      <c r="B27" s="145" t="s">
        <v>90</v>
      </c>
      <c r="C27" s="146" t="s">
        <v>250</v>
      </c>
      <c r="D27" s="140" t="s">
        <v>251</v>
      </c>
    </row>
    <row r="28" ht="16.5" customHeight="1">
      <c r="B28" s="138" t="s">
        <v>49</v>
      </c>
      <c r="C28" s="139" t="s">
        <v>252</v>
      </c>
      <c r="D28" s="140" t="s">
        <v>253</v>
      </c>
    </row>
    <row r="29" ht="16.5" customHeight="1">
      <c r="B29" s="138" t="s">
        <v>47</v>
      </c>
      <c r="C29" s="139" t="s">
        <v>254</v>
      </c>
      <c r="D29" s="140" t="s">
        <v>255</v>
      </c>
    </row>
    <row r="30" ht="16.5" customHeight="1">
      <c r="B30" s="143" t="s">
        <v>19</v>
      </c>
      <c r="C30" s="144" t="s">
        <v>256</v>
      </c>
      <c r="D30" s="140" t="s">
        <v>257</v>
      </c>
    </row>
    <row r="31" ht="16.5" customHeight="1">
      <c r="B31" s="143" t="s">
        <v>43</v>
      </c>
      <c r="C31" s="144" t="s">
        <v>258</v>
      </c>
      <c r="D31" s="140" t="s">
        <v>259</v>
      </c>
    </row>
    <row r="32" ht="16.5" customHeight="1">
      <c r="B32" s="147" t="s">
        <v>115</v>
      </c>
      <c r="C32" s="148" t="s">
        <v>260</v>
      </c>
      <c r="D32" s="140" t="s">
        <v>261</v>
      </c>
    </row>
    <row r="33" ht="16.5" customHeight="1">
      <c r="B33" s="138" t="s">
        <v>23</v>
      </c>
      <c r="C33" s="139" t="s">
        <v>262</v>
      </c>
      <c r="D33" s="140" t="s">
        <v>263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264</v>
      </c>
      <c r="B1" s="149" t="s">
        <v>265</v>
      </c>
      <c r="C1" s="149" t="s">
        <v>136</v>
      </c>
      <c r="D1" s="149"/>
      <c r="E1" s="149"/>
    </row>
    <row r="2">
      <c r="A2" s="150">
        <v>46165.0</v>
      </c>
      <c r="B2" s="149" t="s">
        <v>266</v>
      </c>
      <c r="C2" s="151">
        <v>10000.0</v>
      </c>
      <c r="D2" s="149"/>
      <c r="E2" s="149"/>
    </row>
    <row r="3">
      <c r="A3" s="150">
        <v>46166.0</v>
      </c>
      <c r="B3" s="149" t="s">
        <v>267</v>
      </c>
      <c r="C3" s="151">
        <v>19000.0</v>
      </c>
      <c r="D3" s="149"/>
      <c r="E3" s="149"/>
    </row>
    <row r="4">
      <c r="A4" s="150">
        <v>46168.0</v>
      </c>
      <c r="B4" s="149" t="s">
        <v>268</v>
      </c>
      <c r="C4" s="152">
        <v>2500.0</v>
      </c>
      <c r="D4" s="149"/>
      <c r="E4" s="149"/>
    </row>
    <row r="5">
      <c r="A5" s="150">
        <v>46169.0</v>
      </c>
      <c r="B5" s="149" t="s">
        <v>269</v>
      </c>
      <c r="C5" s="151">
        <v>29050.0</v>
      </c>
      <c r="D5" s="149"/>
      <c r="E5" s="149"/>
    </row>
    <row r="6">
      <c r="A6" s="150">
        <v>46169.0</v>
      </c>
      <c r="B6" s="149" t="s">
        <v>270</v>
      </c>
      <c r="C6" s="152">
        <v>100.0</v>
      </c>
      <c r="D6" s="149"/>
      <c r="E6" s="149"/>
    </row>
    <row r="7">
      <c r="A7" s="150">
        <v>46169.0</v>
      </c>
      <c r="B7" s="149" t="s">
        <v>271</v>
      </c>
      <c r="C7" s="152">
        <v>300.0</v>
      </c>
      <c r="D7" s="149"/>
      <c r="E7" s="149"/>
    </row>
    <row r="8">
      <c r="A8" s="150">
        <v>46169.0</v>
      </c>
      <c r="B8" s="149" t="s">
        <v>272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273</v>
      </c>
      <c r="C10" s="152">
        <v>5000.0</v>
      </c>
      <c r="D10" s="149"/>
      <c r="E10" s="149"/>
    </row>
    <row r="11">
      <c r="A11" s="150">
        <v>46169.0</v>
      </c>
      <c r="B11" s="149" t="s">
        <v>274</v>
      </c>
      <c r="C11" s="151">
        <v>29000.0</v>
      </c>
      <c r="D11" s="149" t="s">
        <v>275</v>
      </c>
      <c r="E11" s="152">
        <v>24000.0</v>
      </c>
    </row>
    <row r="12">
      <c r="A12" s="150">
        <v>46169.0</v>
      </c>
      <c r="B12" s="149" t="s">
        <v>276</v>
      </c>
      <c r="C12" s="152">
        <v>400.0</v>
      </c>
      <c r="D12" s="149" t="s">
        <v>277</v>
      </c>
      <c r="E12" s="151">
        <v>53000.0</v>
      </c>
    </row>
    <row r="13">
      <c r="A13" s="150">
        <v>46169.0</v>
      </c>
      <c r="B13" s="149" t="s">
        <v>278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279</v>
      </c>
      <c r="B22" s="149" t="s">
        <v>264</v>
      </c>
      <c r="C22" s="149" t="s">
        <v>280</v>
      </c>
      <c r="D22" s="149" t="s">
        <v>136</v>
      </c>
      <c r="E22" s="149" t="s">
        <v>281</v>
      </c>
    </row>
    <row r="23">
      <c r="A23" s="149" t="s">
        <v>282</v>
      </c>
      <c r="B23" s="149" t="s">
        <v>283</v>
      </c>
      <c r="C23" s="149" t="s">
        <v>284</v>
      </c>
      <c r="D23" s="152">
        <v>3150.0</v>
      </c>
      <c r="E23" s="153">
        <v>46464.0</v>
      </c>
    </row>
    <row r="24">
      <c r="A24" s="149" t="s">
        <v>282</v>
      </c>
      <c r="B24" s="149" t="s">
        <v>283</v>
      </c>
      <c r="C24" s="149" t="s">
        <v>285</v>
      </c>
      <c r="D24" s="152">
        <v>2650.0</v>
      </c>
      <c r="E24" s="153">
        <v>46219.0</v>
      </c>
    </row>
    <row r="25">
      <c r="A25" s="149" t="s">
        <v>282</v>
      </c>
      <c r="B25" s="149" t="s">
        <v>283</v>
      </c>
      <c r="C25" s="149" t="s">
        <v>286</v>
      </c>
      <c r="D25" s="152">
        <v>2600.0</v>
      </c>
      <c r="E25" s="153">
        <v>46828.0</v>
      </c>
    </row>
    <row r="26">
      <c r="A26" s="149" t="s">
        <v>282</v>
      </c>
      <c r="B26" s="149" t="s">
        <v>283</v>
      </c>
      <c r="C26" s="149" t="s">
        <v>287</v>
      </c>
      <c r="D26" s="152">
        <v>2680.0</v>
      </c>
      <c r="E26" s="154">
        <v>46863.0</v>
      </c>
    </row>
    <row r="27">
      <c r="A27" s="149" t="s">
        <v>168</v>
      </c>
      <c r="B27" s="149" t="s">
        <v>288</v>
      </c>
      <c r="C27" s="149" t="s">
        <v>289</v>
      </c>
      <c r="D27" s="152">
        <v>5390.0</v>
      </c>
      <c r="E27" s="153">
        <v>46764.0</v>
      </c>
    </row>
    <row r="28">
      <c r="A28" s="149" t="s">
        <v>168</v>
      </c>
      <c r="B28" s="149" t="s">
        <v>288</v>
      </c>
      <c r="C28" s="149" t="s">
        <v>290</v>
      </c>
      <c r="D28" s="152">
        <v>3235.0</v>
      </c>
      <c r="E28" s="153">
        <v>46673.0</v>
      </c>
    </row>
    <row r="29">
      <c r="A29" s="149" t="s">
        <v>168</v>
      </c>
      <c r="B29" s="149" t="s">
        <v>288</v>
      </c>
      <c r="C29" s="149" t="s">
        <v>291</v>
      </c>
      <c r="D29" s="152">
        <v>1230.0</v>
      </c>
      <c r="E29" s="149" t="s">
        <v>292</v>
      </c>
    </row>
    <row r="30">
      <c r="A30" s="149" t="s">
        <v>293</v>
      </c>
      <c r="B30" s="149"/>
      <c r="C30" s="149" t="s">
        <v>284</v>
      </c>
      <c r="D30" s="152">
        <v>2960.0</v>
      </c>
      <c r="E30" s="149"/>
    </row>
    <row r="31">
      <c r="A31" s="149" t="s">
        <v>293</v>
      </c>
      <c r="B31" s="149"/>
      <c r="C31" s="149" t="s">
        <v>289</v>
      </c>
      <c r="D31" s="152">
        <v>2960.0</v>
      </c>
      <c r="E31" s="149"/>
    </row>
    <row r="32">
      <c r="A32" s="149" t="s">
        <v>294</v>
      </c>
      <c r="B32" s="149" t="s">
        <v>295</v>
      </c>
      <c r="C32" s="149"/>
      <c r="D32" s="152">
        <v>5000.0</v>
      </c>
      <c r="E32" s="149" t="s">
        <v>296</v>
      </c>
    </row>
    <row r="42">
      <c r="A42" s="155" t="s">
        <v>297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6" t="s">
        <v>6</v>
      </c>
      <c r="B45" s="156" t="s">
        <v>298</v>
      </c>
      <c r="C45" s="156" t="s">
        <v>299</v>
      </c>
      <c r="D45" s="156" t="s">
        <v>77</v>
      </c>
      <c r="E45" s="156" t="s">
        <v>300</v>
      </c>
      <c r="F45" s="156" t="s">
        <v>301</v>
      </c>
      <c r="G45" s="156" t="s">
        <v>302</v>
      </c>
      <c r="H45" s="156" t="s">
        <v>303</v>
      </c>
      <c r="I45" s="156" t="s">
        <v>304</v>
      </c>
      <c r="J45" s="156" t="s">
        <v>305</v>
      </c>
    </row>
    <row r="46">
      <c r="A46" s="157" t="s">
        <v>306</v>
      </c>
      <c r="B46" s="158">
        <v>1000000.0</v>
      </c>
      <c r="C46" s="159">
        <v>0.2</v>
      </c>
      <c r="D46" s="158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8">
        <f t="shared" ref="H46:H52" si="2">IF(D46="", "", D46 * F46)</f>
        <v>0</v>
      </c>
      <c r="I46" s="158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307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3">
        <f t="shared" si="2"/>
        <v>615612.9729</v>
      </c>
      <c r="I47" s="163">
        <f t="shared" si="3"/>
        <v>212564.401</v>
      </c>
      <c r="J47" s="166">
        <f t="shared" si="4"/>
        <v>256387.1932</v>
      </c>
    </row>
    <row r="48">
      <c r="A48" s="157" t="s">
        <v>308</v>
      </c>
      <c r="B48" s="167"/>
      <c r="C48" s="168"/>
      <c r="D48" s="158">
        <f>IF(AND(B48&lt;&gt;"", C48&lt;&gt;"", E48&lt;&gt;""), PMT(C48/12, E48, -B48), 15250)</f>
        <v>15250</v>
      </c>
      <c r="E48" s="169"/>
      <c r="F48" s="160">
        <v>0.0</v>
      </c>
      <c r="G48" s="169" t="str">
        <f t="shared" si="1"/>
        <v/>
      </c>
      <c r="H48" s="158">
        <f t="shared" si="2"/>
        <v>0</v>
      </c>
      <c r="I48" s="167" t="str">
        <f t="shared" si="3"/>
        <v/>
      </c>
      <c r="J48" s="170" t="str">
        <f t="shared" si="4"/>
        <v/>
      </c>
    </row>
    <row r="49">
      <c r="A49" s="162" t="s">
        <v>25</v>
      </c>
      <c r="B49" s="163">
        <v>97110.0</v>
      </c>
      <c r="C49" s="171"/>
      <c r="D49" s="163">
        <f>IF(AND(B49&lt;&gt;"", C49&lt;&gt;"", E49&lt;&gt;""), PMT(C49/12, E49, -B49), 18972)</f>
        <v>18972</v>
      </c>
      <c r="E49" s="172"/>
      <c r="F49" s="165">
        <v>0.0</v>
      </c>
      <c r="G49" s="172" t="str">
        <f t="shared" si="1"/>
        <v/>
      </c>
      <c r="H49" s="163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57" t="s">
        <v>309</v>
      </c>
      <c r="B50" s="158">
        <v>83419.0</v>
      </c>
      <c r="C50" s="159">
        <v>0.12</v>
      </c>
      <c r="D50" s="158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8">
        <f t="shared" si="2"/>
        <v>15261.18436</v>
      </c>
      <c r="I50" s="158">
        <f t="shared" si="3"/>
        <v>70532.37421</v>
      </c>
      <c r="J50" s="161">
        <f t="shared" si="4"/>
        <v>8148.106161</v>
      </c>
    </row>
    <row r="51">
      <c r="A51" s="175" t="s">
        <v>310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57" t="s">
        <v>311</v>
      </c>
      <c r="B52" s="167"/>
      <c r="C52" s="168"/>
      <c r="D52" s="158">
        <f>IF(AND(B52&lt;&gt;"", C52&lt;&gt;"", E52&lt;&gt;""), PMT(C52/12, E52, -B52), 3850)</f>
        <v>3850</v>
      </c>
      <c r="E52" s="169"/>
      <c r="F52" s="160">
        <v>0.0</v>
      </c>
      <c r="G52" s="169" t="str">
        <f t="shared" si="1"/>
        <v/>
      </c>
      <c r="H52" s="158">
        <f t="shared" si="2"/>
        <v>0</v>
      </c>
      <c r="I52" s="167" t="str">
        <f t="shared" si="3"/>
        <v/>
      </c>
      <c r="J52" s="170" t="str">
        <f t="shared" si="4"/>
        <v/>
      </c>
    </row>
    <row r="61">
      <c r="A61" s="180" t="s">
        <v>264</v>
      </c>
      <c r="B61" s="180" t="s">
        <v>312</v>
      </c>
      <c r="C61" s="180" t="s">
        <v>136</v>
      </c>
      <c r="D61" s="180" t="s">
        <v>313</v>
      </c>
      <c r="E61" s="180" t="s">
        <v>314</v>
      </c>
      <c r="F61" s="180" t="s">
        <v>315</v>
      </c>
      <c r="G61" s="180" t="s">
        <v>136</v>
      </c>
      <c r="H61" s="149"/>
      <c r="I61" s="180" t="s">
        <v>316</v>
      </c>
      <c r="J61" s="149" t="s">
        <v>317</v>
      </c>
    </row>
    <row r="62">
      <c r="A62" s="150">
        <v>46143.0</v>
      </c>
      <c r="B62" s="149" t="s">
        <v>318</v>
      </c>
      <c r="C62" s="181">
        <v>11839.0</v>
      </c>
      <c r="D62" s="182" t="b">
        <v>1</v>
      </c>
      <c r="E62" s="149" t="s">
        <v>319</v>
      </c>
      <c r="F62" s="149" t="s">
        <v>320</v>
      </c>
      <c r="G62" s="181">
        <v>71000.0</v>
      </c>
      <c r="H62" s="149"/>
      <c r="I62" s="180" t="s">
        <v>321</v>
      </c>
      <c r="J62" s="181">
        <f>SUM(C62:C1000)</f>
        <v>84657</v>
      </c>
    </row>
    <row r="63">
      <c r="A63" s="150">
        <v>46144.0</v>
      </c>
      <c r="B63" s="149" t="s">
        <v>322</v>
      </c>
      <c r="C63" s="181">
        <v>3850.0</v>
      </c>
      <c r="D63" s="182" t="b">
        <v>1</v>
      </c>
      <c r="E63" s="149" t="s">
        <v>323</v>
      </c>
      <c r="F63" s="149"/>
      <c r="G63" s="183"/>
      <c r="H63" s="149"/>
      <c r="I63" s="180" t="s">
        <v>303</v>
      </c>
      <c r="J63" s="181">
        <f>SUMIFS(C62:C1000, D62:D1000, TRUE)</f>
        <v>50435</v>
      </c>
    </row>
    <row r="64">
      <c r="A64" s="150">
        <v>46145.0</v>
      </c>
      <c r="B64" s="149" t="s">
        <v>324</v>
      </c>
      <c r="C64" s="181">
        <v>4627.0</v>
      </c>
      <c r="D64" s="182" t="b">
        <v>1</v>
      </c>
      <c r="E64" s="149"/>
      <c r="F64" s="149"/>
      <c r="G64" s="183"/>
      <c r="H64" s="149"/>
      <c r="I64" s="180" t="s">
        <v>325</v>
      </c>
      <c r="J64" s="181">
        <f>SUMIFS(C62:C1000, D62:D1000, FALSE)</f>
        <v>34222</v>
      </c>
    </row>
    <row r="65">
      <c r="A65" s="150">
        <v>46147.0</v>
      </c>
      <c r="B65" s="149" t="s">
        <v>326</v>
      </c>
      <c r="C65" s="181">
        <v>5000.0</v>
      </c>
      <c r="D65" s="182" t="b">
        <v>1</v>
      </c>
      <c r="E65" s="149"/>
      <c r="F65" s="149"/>
      <c r="G65" s="183"/>
      <c r="H65" s="149"/>
      <c r="I65" s="180" t="s">
        <v>327</v>
      </c>
      <c r="J65" s="181">
        <f>SUM(G62:G1000)</f>
        <v>71000</v>
      </c>
    </row>
    <row r="66">
      <c r="A66" s="150">
        <v>46167.0</v>
      </c>
      <c r="B66" s="149" t="s">
        <v>328</v>
      </c>
      <c r="C66" s="181">
        <v>18972.0</v>
      </c>
      <c r="D66" s="182" t="b">
        <v>0</v>
      </c>
      <c r="E66" s="184">
        <v>97110.0</v>
      </c>
      <c r="F66" s="149"/>
      <c r="G66" s="183"/>
      <c r="H66" s="149"/>
      <c r="I66" s="180" t="s">
        <v>329</v>
      </c>
      <c r="J66" s="181">
        <f>J65-J62</f>
        <v>-13657</v>
      </c>
    </row>
    <row r="67">
      <c r="A67" s="150">
        <v>46146.0</v>
      </c>
      <c r="B67" s="149" t="s">
        <v>330</v>
      </c>
      <c r="C67" s="181">
        <v>13625.0</v>
      </c>
      <c r="D67" s="182" t="b">
        <v>1</v>
      </c>
      <c r="E67" s="149" t="s">
        <v>331</v>
      </c>
      <c r="F67" s="149"/>
      <c r="G67" s="183"/>
      <c r="H67" s="149"/>
      <c r="I67" s="149"/>
      <c r="J67" s="149"/>
    </row>
    <row r="68">
      <c r="A68" s="150">
        <v>46145.0</v>
      </c>
      <c r="B68" s="149" t="s">
        <v>332</v>
      </c>
      <c r="C68" s="181">
        <v>2494.0</v>
      </c>
      <c r="D68" s="182" t="b">
        <v>1</v>
      </c>
      <c r="E68" s="149"/>
      <c r="F68" s="149"/>
      <c r="G68" s="183"/>
      <c r="H68" s="149"/>
      <c r="I68" s="149"/>
      <c r="J68" s="149"/>
    </row>
    <row r="69">
      <c r="A69" s="150">
        <v>46144.0</v>
      </c>
      <c r="B69" s="149" t="s">
        <v>333</v>
      </c>
      <c r="C69" s="181">
        <v>4500.0</v>
      </c>
      <c r="D69" s="182" t="b">
        <v>1</v>
      </c>
      <c r="E69" s="149"/>
      <c r="F69" s="149"/>
      <c r="G69" s="183"/>
      <c r="H69" s="149"/>
      <c r="I69" s="149"/>
      <c r="J69" s="149"/>
    </row>
    <row r="70">
      <c r="A70" s="150">
        <v>46152.0</v>
      </c>
      <c r="B70" s="149" t="s">
        <v>334</v>
      </c>
      <c r="C70" s="181">
        <v>1500.0</v>
      </c>
      <c r="D70" s="182" t="b">
        <v>1</v>
      </c>
      <c r="E70" s="149"/>
      <c r="F70" s="149"/>
      <c r="G70" s="183"/>
      <c r="H70" s="149"/>
      <c r="I70" s="149"/>
      <c r="J70" s="149"/>
    </row>
    <row r="71">
      <c r="A71" s="150">
        <v>46152.0</v>
      </c>
      <c r="B71" s="149" t="s">
        <v>335</v>
      </c>
      <c r="C71" s="181">
        <v>3000.0</v>
      </c>
      <c r="D71" s="182" t="b">
        <v>1</v>
      </c>
      <c r="E71" s="149"/>
      <c r="F71" s="149"/>
      <c r="G71" s="183"/>
      <c r="H71" s="149"/>
      <c r="I71" s="149"/>
      <c r="J71" s="149"/>
    </row>
    <row r="72">
      <c r="A72" s="150">
        <v>46157.0</v>
      </c>
      <c r="B72" s="149" t="s">
        <v>336</v>
      </c>
      <c r="C72" s="181">
        <v>15250.0</v>
      </c>
      <c r="D72" s="182" t="b">
        <v>0</v>
      </c>
      <c r="E72" s="149"/>
      <c r="F72" s="149"/>
      <c r="G72" s="183"/>
      <c r="H72" s="149"/>
      <c r="I72" s="149"/>
      <c r="J72" s="149"/>
    </row>
  </sheetData>
  <drawing r:id="rId1"/>
  <tableParts count="1">
    <tablePart r:id="rId3"/>
  </tableParts>
</worksheet>
</file>