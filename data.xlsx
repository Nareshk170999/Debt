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<sst xmlns="http://schemas.openxmlformats.org/spreadsheetml/2006/main" count="431" uniqueCount="327">
  <si>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</si>
  <si>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</si>
  <si>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</si>
  <si>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</si>
  <si>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</si>
  <si>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</si>
  <si>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</si>
  <si>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</si>
  <si>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</si>
  <si>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</si>
  <si>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</si>
  <si>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</si>
  <si>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</si>
  <si>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</si>
  <si>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</si>
  <si>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</si>
  <si>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</si>
  <si>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</si>
  <si>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</si>
  <si>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</si>
  <si>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</si>
  <si>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</si>
  <si>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</si>
  <si>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</si>
  <si>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</si>
  <si>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</si>
  <si>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</si>
  <si>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</si>
  <si>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</si>
  <si>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</si>
  <si>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</si>
  <si>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</si>
  <si>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</si>
  <si>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</si>
  <si>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</si>
  <si>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</si>
  <si>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</si>
  <si>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</si>
  <si>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</si>
  <si>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</si>
  <si>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</si>
  <si>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</si>
  <si>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</si>
  <si>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</si>
  <si>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</si>
  <si>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</si>
  <si>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</si>
  <si>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</si>
  <si>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</si>
  <si>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</si>
  <si>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</si>
  <si>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</si>
  <si>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</si>
  <si>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</si>
  <si>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</si>
  <si>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</si>
  <si>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</si>
  <si>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</si>
  <si>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</si>
  <si>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</si>
  <si>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</si>
  <si>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</si>
  <si>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</si>
  <si>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</si>
  <si>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</si>
  <si>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</si>
  <si>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</si>
  <si>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</si>
  <si>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</si>
  <si>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</si>
  <si>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</si>
  <si>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</si>
  <si>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</si>
  <si>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</si>
  <si>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</si>
  <si>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</si>
  <si>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</si>
  <si>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</si>
  <si>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</si>
  <si>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</si>
  <si>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</si>
  <si>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</si>
  <si>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</si>
  <si>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</si>
  <si>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</si>
  <si>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</si>
  <si>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</si>
  <si>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</si>
  <si>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</si>
  <si>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</si>
  <si>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</si>
  <si>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</si>
  <si>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</si>
  <si>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</si>
  <si>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</si>
  <si>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</si>
  <si>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</si>
  <si>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</si>
  <si>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</si>
  <si>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</si>
  <si>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</si>
  <si>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</si>
  <si>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</si>
  <si>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</si>
  <si>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</si>
  <si>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</si>
  <si>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</si>
  <si>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</si>
  <si>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</si>
  <si>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</si>
  <si>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</si>
  <si>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</si>
  <si>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</si>
  <si>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</si>
  <si>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</si>
  <si>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</si>
  <si>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</si>
  <si>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</si>
  <si>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</si>
  <si>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</si>
  <si>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</si>
  <si>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</si>
  <si>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</si>
  <si>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</si>
  <si>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</si>
  <si>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</si>
  <si>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</si>
  <si>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</si>
  <si>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</si>
  <si>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</si>
  <si>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</si>
  <si>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</si>
  <si>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</si>
  <si>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</si>
  <si>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</si>
  <si>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</si>
  <si>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</si>
  <si>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</si>
  <si>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</si>
  <si>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</si>
  <si>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</si>
  <si>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</si>
  <si>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</si>
  <si>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</si>
  <si>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</si>
  <si>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</si>
  <si>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</si>
  <si>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</si>
  <si>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</si>
  <si>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</si>
  <si>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</si>
  <si>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</si>
  <si>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</si>
  <si>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</si>
  <si>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</si>
  <si>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</si>
  <si>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</si>
  <si>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</si>
  <si>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</si>
  <si>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</si>
  <si>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</si>
  <si>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</si>
  <si>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</si>
  <si>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</si>
  <si>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</si>
  <si>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</si>
  <si>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</si>
  <si>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</si>
  <si>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</si>
  <si>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</si>
  <si>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</si>
  <si>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</si>
  <si>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</si>
  <si>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</si>
  <si>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</si>
  <si>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</si>
  <si>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</si>
  <si>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</si>
  <si>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</si>
  <si>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</si>
  <si>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</si>
  <si>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</si>
  <si>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</si>
  <si>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</si>
  <si>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</si>
  <si>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</si>
  <si>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</si>
  <si>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</si>
  <si>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</si>
  <si>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</si>
  <si>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</si>
  <si>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</si>
  <si>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</si>
  <si>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</si>
  <si>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</si>
  <si>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</si>
  <si>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</si>
  <si>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</si>
  <si>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</si>
  <si>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</si>
  <si>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</si>
  <si>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</si>
  <si>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</si>
  <si>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</si>
  <si>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</si>
  <si>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</si>
  <si>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</si>
  <si>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</si>
  <si>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</si>
  <si>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</si>
  <si>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</si>
  <si>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</si>
  <si>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</si>
  <si>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</si>
  <si>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</si>
  <si>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</si>
  <si>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</si>
  <si>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</si>
  <si>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</si>
  <si>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</si>
  <si>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</si>
  <si>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</si>
  <si>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</si>
  <si>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</si>
  <si>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</si>
  <si>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</si>
  <si>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</si>
  <si>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</si>
  <si>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</si>
  <si>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</si>
  <si>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</si>
  <si>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</si>
  <si>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</si>
  <si>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</si>
  <si>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</si>
  <si>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</si>
  <si>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</si>
  <si>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</si>
  <si>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</si>
  <si>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</si>
  <si>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</si>
  <si>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</si>
  <si>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</si>
  <si>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</si>
  <si>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</si>
  <si>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</si>
  <si>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</si>
  <si>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</si>
  <si>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</si>
  <si>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</si>
  <si>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</si>
  <si>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</si>
  <si>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</si>
  <si>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</si>
  <si>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</si>
  <si>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</si>
  <si>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</si>
  <si>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</si>
  <si>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</si>
  <si>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</si>
  <si>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</si>
  <si>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Veera Dress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</si>
  <si>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</si>
  <si>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</si>
  <si>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</si>
  <si>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</si>
  <si>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</si>
  <si>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</si>
  <si>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</si>
  <si>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</si>
  <si>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</si>
  <si>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</si>
  <si>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</si>
  <si>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</si>
  <si>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</si>
  <si>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</si>
  <si>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</si>
  <si>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>ESAF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</si>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</sst>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₹#,##0"/>
    <numFmt numFmtId="167" formatCode="mmm yyyy"/>
    <numFmt numFmtId="168" formatCode="₹#,##0.00"/>
    <numFmt numFmtId="169" formatCode="d mmmm"/>
    <numFmt numFmtId="170" formatCode="mmmm yyyy"/>
    <numFmt numFmtId="171" formatCode="yyyy-mm-dd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70" xfId="0" applyAlignment="1" applyFont="1" applyNumberFormat="1">
      <alignment readingOrder="0"/>
    </xf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1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1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74178</v>
      </c>
      <c r="F5" s="57">
        <f t="shared" ref="F5:F59" si="2">C5-D5-E5</f>
        <v>-57514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21.57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9">
        <v>46174.0</v>
      </c>
      <c r="B13" s="101" t="s">
        <v>146</v>
      </c>
      <c r="C13" s="102">
        <v>9975.0</v>
      </c>
      <c r="D13" s="101" t="s">
        <v>147</v>
      </c>
    </row>
    <row r="14">
      <c r="A14" s="109">
        <v>46174.0</v>
      </c>
      <c r="B14" s="101" t="s">
        <v>148</v>
      </c>
      <c r="C14" s="102">
        <v>185.0</v>
      </c>
      <c r="D14" s="101" t="s">
        <v>147</v>
      </c>
    </row>
    <row r="15">
      <c r="A15" s="109">
        <v>46174.0</v>
      </c>
      <c r="B15" s="101" t="s">
        <v>149</v>
      </c>
      <c r="C15" s="102">
        <v>650.0</v>
      </c>
      <c r="D15" s="101" t="s">
        <v>147</v>
      </c>
    </row>
    <row r="16">
      <c r="A16" s="109">
        <v>46174.0</v>
      </c>
      <c r="B16" s="101" t="s">
        <v>150</v>
      </c>
      <c r="C16" s="102">
        <v>5077.0</v>
      </c>
      <c r="D16" s="101" t="s">
        <v>151</v>
      </c>
    </row>
    <row r="17">
      <c r="A17" s="109">
        <v>46174.0</v>
      </c>
      <c r="B17" s="101" t="s">
        <v>152</v>
      </c>
      <c r="C17" s="102">
        <v>716.0</v>
      </c>
      <c r="D17" s="101" t="s">
        <v>153</v>
      </c>
    </row>
    <row r="18">
      <c r="A18" s="109">
        <v>46175.0</v>
      </c>
      <c r="B18" s="101" t="s">
        <v>154</v>
      </c>
      <c r="C18" s="102">
        <v>5000.0</v>
      </c>
      <c r="D18" s="101" t="s">
        <v>153</v>
      </c>
    </row>
    <row r="19">
      <c r="A19" s="109">
        <v>46176.0</v>
      </c>
      <c r="B19" s="101" t="s">
        <v>155</v>
      </c>
      <c r="C19" s="102">
        <v>2000.0</v>
      </c>
      <c r="D19" s="101" t="s">
        <v>153</v>
      </c>
    </row>
    <row r="20">
      <c r="A20" s="109">
        <v>46177.0</v>
      </c>
      <c r="B20" s="101" t="s">
        <v>156</v>
      </c>
      <c r="C20" s="102">
        <v>240.0</v>
      </c>
      <c r="D20" s="101" t="s">
        <v>153</v>
      </c>
    </row>
    <row r="21">
      <c r="A21" s="109">
        <v>46178.0</v>
      </c>
      <c r="B21" s="101" t="s">
        <v>157</v>
      </c>
      <c r="C21" s="102">
        <v>512.0</v>
      </c>
      <c r="D21" s="101" t="s">
        <v>158</v>
      </c>
    </row>
    <row r="22">
      <c r="A22" s="109">
        <v>46179.0</v>
      </c>
      <c r="B22" s="101" t="s">
        <v>159</v>
      </c>
      <c r="C22" s="102">
        <v>3000.0</v>
      </c>
      <c r="D22" s="101" t="s">
        <v>158</v>
      </c>
    </row>
    <row r="23">
      <c r="A23" s="109">
        <v>46180.0</v>
      </c>
      <c r="B23" s="101" t="s">
        <v>160</v>
      </c>
      <c r="C23" s="102">
        <v>15230.0</v>
      </c>
      <c r="D23" s="101" t="s">
        <v>158</v>
      </c>
    </row>
    <row r="24">
      <c r="A24" s="109">
        <v>46181.0</v>
      </c>
      <c r="B24" s="101" t="s">
        <v>161</v>
      </c>
      <c r="C24" s="102">
        <v>1950.0</v>
      </c>
      <c r="D24" s="101" t="s">
        <v>158</v>
      </c>
    </row>
    <row r="25">
      <c r="A25" s="109">
        <v>46182.0</v>
      </c>
      <c r="B25" s="101" t="s">
        <v>162</v>
      </c>
      <c r="C25" s="102">
        <v>500.0</v>
      </c>
      <c r="D25" s="101" t="s">
        <v>163</v>
      </c>
    </row>
    <row r="26">
      <c r="A26" s="109">
        <v>46183.0</v>
      </c>
      <c r="B26" s="101" t="s">
        <v>164</v>
      </c>
      <c r="C26" s="102">
        <v>850.0</v>
      </c>
      <c r="D26" s="101" t="s">
        <v>163</v>
      </c>
    </row>
    <row r="27">
      <c r="A27" s="109">
        <v>46184.0</v>
      </c>
      <c r="B27" s="108"/>
      <c r="C27" s="110"/>
      <c r="D27" s="108"/>
    </row>
    <row r="28">
      <c r="A28" s="109">
        <v>46185.0</v>
      </c>
      <c r="B28" s="108"/>
      <c r="C28" s="110"/>
      <c r="D28" s="108"/>
    </row>
    <row r="29">
      <c r="A29" s="109">
        <v>46186.0</v>
      </c>
      <c r="B29" s="108"/>
      <c r="C29" s="110"/>
      <c r="D29" s="108"/>
    </row>
    <row r="30">
      <c r="A30" s="108"/>
      <c r="B30" s="108"/>
      <c r="C30" s="110"/>
      <c r="D30" s="108"/>
    </row>
    <row r="31">
      <c r="A31" s="108"/>
      <c r="B31" s="108"/>
      <c r="C31" s="110"/>
      <c r="D31" s="108"/>
    </row>
    <row r="32">
      <c r="A32" s="108"/>
      <c r="B32" s="108"/>
      <c r="C32" s="110"/>
      <c r="D32" s="108"/>
    </row>
    <row r="33">
      <c r="A33" s="108"/>
      <c r="B33" s="108"/>
      <c r="C33" s="110"/>
      <c r="D33" s="108"/>
    </row>
    <row r="34">
      <c r="A34" s="108"/>
      <c r="B34" s="108"/>
      <c r="C34" s="110"/>
      <c r="D34" s="108"/>
    </row>
    <row r="35">
      <c r="A35" s="108"/>
      <c r="B35" s="108"/>
      <c r="C35" s="110"/>
      <c r="D35" s="108"/>
    </row>
    <row r="36">
      <c r="A36" s="108"/>
      <c r="B36" s="108"/>
      <c r="C36" s="110"/>
      <c r="D36" s="108"/>
    </row>
    <row r="37">
      <c r="A37" s="108"/>
      <c r="B37" s="108"/>
      <c r="C37" s="110"/>
      <c r="D37" s="108"/>
    </row>
    <row r="38">
      <c r="A38" s="108"/>
      <c r="B38" s="108"/>
      <c r="C38" s="110"/>
      <c r="D38" s="108"/>
    </row>
    <row r="39">
      <c r="A39" s="108"/>
      <c r="B39" s="108"/>
      <c r="C39" s="110"/>
      <c r="D39" s="108"/>
    </row>
    <row r="40">
      <c r="A40" s="108"/>
      <c r="B40" s="108"/>
      <c r="C40" s="110"/>
      <c r="D40" s="108"/>
    </row>
    <row r="41">
      <c r="A41" s="108"/>
      <c r="B41" s="108"/>
      <c r="C41" s="110"/>
      <c r="D41" s="108"/>
    </row>
    <row r="42">
      <c r="A42" s="108"/>
      <c r="B42" s="108"/>
      <c r="C42" s="110"/>
      <c r="D42" s="108"/>
    </row>
    <row r="43">
      <c r="A43" s="108"/>
      <c r="B43" s="108"/>
      <c r="C43" s="110"/>
      <c r="D43" s="108"/>
    </row>
    <row r="44">
      <c r="A44" s="108"/>
      <c r="B44" s="108"/>
      <c r="C44" s="110"/>
      <c r="D44" s="108"/>
    </row>
    <row r="45">
      <c r="A45" s="108"/>
      <c r="B45" s="108"/>
      <c r="C45" s="110"/>
      <c r="D45" s="108"/>
    </row>
    <row r="46">
      <c r="A46" s="108"/>
      <c r="B46" s="108"/>
      <c r="C46" s="110"/>
      <c r="D46" s="108"/>
    </row>
    <row r="47">
      <c r="A47" s="108"/>
      <c r="B47" s="108"/>
      <c r="C47" s="110"/>
      <c r="D47" s="108"/>
    </row>
    <row r="48">
      <c r="A48" s="108"/>
      <c r="B48" s="108"/>
      <c r="C48" s="110"/>
      <c r="D48" s="108"/>
    </row>
    <row r="49">
      <c r="A49" s="108"/>
      <c r="B49" s="108"/>
      <c r="C49" s="110"/>
      <c r="D49" s="108"/>
    </row>
    <row r="50">
      <c r="A50" s="108"/>
      <c r="B50" s="108"/>
      <c r="C50" s="110"/>
      <c r="D50" s="108"/>
    </row>
    <row r="51">
      <c r="A51" s="108"/>
      <c r="B51" s="108"/>
      <c r="C51" s="110"/>
      <c r="D51" s="108"/>
    </row>
    <row r="52">
      <c r="A52" s="108"/>
      <c r="B52" s="108"/>
      <c r="C52" s="110"/>
      <c r="D52" s="108"/>
    </row>
    <row r="53">
      <c r="A53" s="108"/>
      <c r="B53" s="108"/>
      <c r="C53" s="110"/>
      <c r="D53" s="108"/>
    </row>
    <row r="54">
      <c r="A54" s="108"/>
      <c r="B54" s="108"/>
      <c r="C54" s="110"/>
      <c r="D54" s="108"/>
    </row>
    <row r="55">
      <c r="A55" s="108"/>
      <c r="B55" s="108"/>
      <c r="C55" s="110"/>
      <c r="D55" s="108"/>
    </row>
    <row r="56">
      <c r="A56" s="108"/>
      <c r="B56" s="108"/>
      <c r="C56" s="110"/>
      <c r="D56" s="108"/>
    </row>
    <row r="57">
      <c r="A57" s="108"/>
      <c r="B57" s="108"/>
      <c r="C57" s="110"/>
      <c r="D57" s="108"/>
    </row>
    <row r="58">
      <c r="A58" s="108"/>
      <c r="B58" s="108"/>
      <c r="C58" s="110"/>
      <c r="D58" s="108"/>
    </row>
    <row r="59">
      <c r="A59" s="108"/>
      <c r="B59" s="108"/>
      <c r="C59" s="110"/>
      <c r="D59" s="108"/>
    </row>
    <row r="60">
      <c r="A60" s="108"/>
      <c r="B60" s="108"/>
      <c r="C60" s="110"/>
      <c r="D60" s="108"/>
    </row>
    <row r="61">
      <c r="A61" s="108"/>
      <c r="B61" s="108"/>
      <c r="C61" s="110"/>
      <c r="D61" s="108"/>
    </row>
    <row r="62">
      <c r="A62" s="108"/>
      <c r="B62" s="108"/>
      <c r="C62" s="110"/>
      <c r="D62" s="108"/>
    </row>
    <row r="63">
      <c r="A63" s="108"/>
      <c r="B63" s="108"/>
      <c r="C63" s="110"/>
      <c r="D63" s="108"/>
    </row>
    <row r="64">
      <c r="A64" s="108"/>
      <c r="B64" s="108"/>
      <c r="C64" s="110"/>
      <c r="D64" s="108"/>
    </row>
    <row r="65">
      <c r="A65" s="108"/>
      <c r="B65" s="108"/>
      <c r="C65" s="110"/>
      <c r="D65" s="108"/>
    </row>
    <row r="66">
      <c r="A66" s="108"/>
      <c r="B66" s="108"/>
      <c r="C66" s="110"/>
      <c r="D66" s="108"/>
    </row>
    <row r="67">
      <c r="A67" s="108"/>
      <c r="B67" s="108"/>
      <c r="C67" s="110"/>
      <c r="D67" s="108"/>
    </row>
    <row r="68">
      <c r="A68" s="108"/>
      <c r="B68" s="108"/>
      <c r="C68" s="110"/>
      <c r="D68" s="108"/>
    </row>
    <row r="69">
      <c r="A69" s="108"/>
      <c r="B69" s="108"/>
      <c r="C69" s="110"/>
      <c r="D69" s="108"/>
    </row>
    <row r="70">
      <c r="A70" s="108"/>
      <c r="B70" s="108"/>
      <c r="C70" s="110"/>
      <c r="D70" s="108"/>
    </row>
    <row r="71">
      <c r="A71" s="108"/>
      <c r="B71" s="108"/>
      <c r="C71" s="110"/>
      <c r="D71" s="108"/>
    </row>
    <row r="72">
      <c r="A72" s="108"/>
      <c r="B72" s="108"/>
      <c r="C72" s="110"/>
      <c r="D72" s="108"/>
    </row>
    <row r="73">
      <c r="A73" s="108"/>
      <c r="B73" s="108"/>
      <c r="C73" s="110"/>
      <c r="D73" s="108"/>
    </row>
    <row r="74">
      <c r="A74" s="108"/>
      <c r="B74" s="108"/>
      <c r="C74" s="110"/>
      <c r="D74" s="108"/>
    </row>
    <row r="75">
      <c r="A75" s="108"/>
      <c r="B75" s="108"/>
      <c r="C75" s="110"/>
      <c r="D75" s="108"/>
    </row>
    <row r="76">
      <c r="A76" s="108"/>
      <c r="B76" s="108"/>
      <c r="C76" s="110"/>
      <c r="D76" s="108"/>
    </row>
    <row r="77">
      <c r="A77" s="108"/>
      <c r="B77" s="108"/>
      <c r="C77" s="110"/>
      <c r="D77" s="108"/>
    </row>
    <row r="78">
      <c r="A78" s="108"/>
      <c r="B78" s="108"/>
      <c r="C78" s="110"/>
      <c r="D78" s="108"/>
    </row>
    <row r="79">
      <c r="A79" s="108"/>
      <c r="B79" s="108"/>
      <c r="C79" s="110"/>
      <c r="D79" s="108"/>
    </row>
    <row r="80">
      <c r="A80" s="108"/>
      <c r="B80" s="108"/>
      <c r="C80" s="110"/>
      <c r="D80" s="108"/>
    </row>
    <row r="81">
      <c r="A81" s="108"/>
      <c r="B81" s="108"/>
      <c r="C81" s="110"/>
      <c r="D81" s="108"/>
    </row>
    <row r="82">
      <c r="A82" s="108"/>
      <c r="B82" s="108"/>
      <c r="C82" s="110"/>
      <c r="D82" s="108"/>
    </row>
    <row r="83">
      <c r="A83" s="108"/>
      <c r="B83" s="108"/>
      <c r="C83" s="110"/>
      <c r="D83" s="108"/>
    </row>
    <row r="84">
      <c r="A84" s="108"/>
      <c r="B84" s="108"/>
      <c r="C84" s="110"/>
      <c r="D84" s="108"/>
    </row>
    <row r="85">
      <c r="A85" s="108"/>
      <c r="B85" s="108"/>
      <c r="C85" s="110"/>
      <c r="D85" s="108"/>
    </row>
    <row r="86">
      <c r="A86" s="108"/>
      <c r="B86" s="108"/>
      <c r="C86" s="110"/>
      <c r="D86" s="108"/>
    </row>
    <row r="87">
      <c r="A87" s="108"/>
      <c r="B87" s="108"/>
      <c r="C87" s="110"/>
      <c r="D87" s="108"/>
    </row>
    <row r="88">
      <c r="A88" s="108"/>
      <c r="B88" s="108"/>
      <c r="C88" s="110"/>
      <c r="D88" s="108"/>
    </row>
    <row r="89">
      <c r="A89" s="108"/>
      <c r="B89" s="108"/>
      <c r="C89" s="110"/>
      <c r="D89" s="108"/>
    </row>
    <row r="90">
      <c r="A90" s="108"/>
      <c r="B90" s="108"/>
      <c r="C90" s="110"/>
      <c r="D90" s="108"/>
    </row>
    <row r="91">
      <c r="A91" s="108"/>
      <c r="B91" s="108"/>
      <c r="C91" s="110"/>
      <c r="D91" s="108"/>
    </row>
    <row r="92">
      <c r="A92" s="108"/>
      <c r="B92" s="108"/>
      <c r="C92" s="110"/>
      <c r="D92" s="108"/>
    </row>
    <row r="93">
      <c r="A93" s="108"/>
      <c r="B93" s="108"/>
      <c r="C93" s="110"/>
      <c r="D93" s="108"/>
    </row>
    <row r="94">
      <c r="A94" s="108"/>
      <c r="B94" s="108"/>
      <c r="C94" s="110"/>
      <c r="D94" s="108"/>
    </row>
    <row r="95">
      <c r="A95" s="108"/>
      <c r="B95" s="108"/>
      <c r="C95" s="110"/>
      <c r="D95" s="108"/>
    </row>
    <row r="96">
      <c r="A96" s="108"/>
      <c r="B96" s="108"/>
      <c r="C96" s="110"/>
      <c r="D96" s="108"/>
    </row>
    <row r="97">
      <c r="A97" s="108"/>
      <c r="B97" s="108"/>
      <c r="C97" s="110"/>
      <c r="D97" s="108"/>
    </row>
    <row r="98">
      <c r="A98" s="108"/>
      <c r="B98" s="108"/>
      <c r="C98" s="110"/>
      <c r="D98" s="108"/>
    </row>
    <row r="99">
      <c r="A99" s="108"/>
      <c r="B99" s="108"/>
      <c r="C99" s="110"/>
      <c r="D99" s="108"/>
    </row>
    <row r="100">
      <c r="A100" s="108"/>
      <c r="B100" s="108"/>
      <c r="C100" s="110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1" t="s">
        <v>165</v>
      </c>
    </row>
    <row r="4">
      <c r="B4" s="112" t="s">
        <v>166</v>
      </c>
      <c r="C4" s="112" t="s">
        <v>167</v>
      </c>
      <c r="D4" s="112" t="s">
        <v>168</v>
      </c>
      <c r="E4" s="112" t="s">
        <v>169</v>
      </c>
      <c r="F4" s="112" t="s">
        <v>170</v>
      </c>
      <c r="G4" s="112" t="s">
        <v>171</v>
      </c>
      <c r="H4" s="113" t="s">
        <v>172</v>
      </c>
    </row>
    <row r="5">
      <c r="B5" s="114">
        <v>55.8</v>
      </c>
      <c r="C5" s="115">
        <v>0.11</v>
      </c>
      <c r="D5" s="114" t="s">
        <v>173</v>
      </c>
      <c r="E5" s="114" t="s">
        <v>174</v>
      </c>
      <c r="F5" s="116">
        <v>391560.0</v>
      </c>
      <c r="G5" s="117">
        <v>46010.0</v>
      </c>
      <c r="H5" s="10">
        <f t="shared" ref="H5:H9" si="1">IF(OR(ISBLANK(F5), ISBLANK(G5), ISBLANK(C5)), 0, F5 * C5 * (TODAY() - G5) / 365)</f>
        <v>20650.76712</v>
      </c>
    </row>
    <row r="6">
      <c r="B6" s="114">
        <v>30.0</v>
      </c>
      <c r="C6" s="115">
        <v>0.1</v>
      </c>
      <c r="D6" s="114" t="s">
        <v>173</v>
      </c>
      <c r="E6" s="114" t="s">
        <v>175</v>
      </c>
      <c r="F6" s="116">
        <v>229500.0</v>
      </c>
      <c r="G6" s="117">
        <v>45966.0</v>
      </c>
      <c r="H6" s="10">
        <f t="shared" si="1"/>
        <v>13770</v>
      </c>
    </row>
    <row r="7">
      <c r="B7" s="114">
        <v>36.9</v>
      </c>
      <c r="C7" s="115">
        <v>0.105</v>
      </c>
      <c r="D7" s="114" t="s">
        <v>173</v>
      </c>
      <c r="E7" s="114" t="s">
        <v>176</v>
      </c>
      <c r="F7" s="116">
        <v>300000.0</v>
      </c>
      <c r="G7" s="117">
        <v>46169.0</v>
      </c>
      <c r="H7" s="10">
        <f t="shared" si="1"/>
        <v>1380.821918</v>
      </c>
    </row>
    <row r="8">
      <c r="B8" s="114">
        <v>15.0</v>
      </c>
      <c r="C8" s="118"/>
      <c r="D8" s="114" t="s">
        <v>173</v>
      </c>
      <c r="E8" s="114" t="s">
        <v>176</v>
      </c>
      <c r="F8" s="116">
        <v>135000.0</v>
      </c>
      <c r="G8" s="117">
        <v>46178.0</v>
      </c>
      <c r="H8" s="10">
        <f t="shared" si="1"/>
        <v>0</v>
      </c>
    </row>
    <row r="9">
      <c r="B9" s="119"/>
      <c r="C9" s="118"/>
      <c r="D9" s="114" t="s">
        <v>173</v>
      </c>
      <c r="E9" s="114" t="s">
        <v>177</v>
      </c>
      <c r="F9" s="116">
        <v>297698.0</v>
      </c>
      <c r="G9" s="117">
        <v>46035.0</v>
      </c>
      <c r="H9" s="10">
        <f t="shared" si="1"/>
        <v>0</v>
      </c>
    </row>
    <row r="10">
      <c r="B10" s="119"/>
      <c r="C10" s="118"/>
      <c r="D10" s="119"/>
      <c r="E10" s="119"/>
      <c r="F10" s="120"/>
      <c r="G10" s="121"/>
      <c r="H10" s="10" t="str">
        <f t="shared" ref="H10:H96" si="2">IF(OR(ISBLANK(F10), ISBLANK(G10)), "", F10 * (C10/100) * (TODAY() - G10) / 365)</f>
        <v/>
      </c>
    </row>
    <row r="11">
      <c r="B11" s="119"/>
      <c r="C11" s="118"/>
      <c r="D11" s="119"/>
      <c r="E11" s="119"/>
      <c r="F11" s="120"/>
      <c r="G11" s="121"/>
      <c r="H11" s="10" t="str">
        <f t="shared" si="2"/>
        <v/>
      </c>
    </row>
    <row r="12">
      <c r="B12" s="119"/>
      <c r="C12" s="118"/>
      <c r="D12" s="119"/>
      <c r="E12" s="119"/>
      <c r="F12" s="120"/>
      <c r="G12" s="121"/>
      <c r="H12" s="10" t="str">
        <f t="shared" si="2"/>
        <v/>
      </c>
    </row>
    <row r="13">
      <c r="B13" s="119"/>
      <c r="C13" s="118"/>
      <c r="D13" s="119"/>
      <c r="E13" s="119"/>
      <c r="F13" s="120"/>
      <c r="G13" s="121"/>
      <c r="H13" s="10" t="str">
        <f t="shared" si="2"/>
        <v/>
      </c>
    </row>
    <row r="14">
      <c r="B14" s="119"/>
      <c r="C14" s="118"/>
      <c r="D14" s="119"/>
      <c r="E14" s="119"/>
      <c r="F14" s="120"/>
      <c r="G14" s="121"/>
      <c r="H14" s="10" t="str">
        <f t="shared" si="2"/>
        <v/>
      </c>
    </row>
    <row r="15">
      <c r="B15" s="119"/>
      <c r="C15" s="118"/>
      <c r="D15" s="119"/>
      <c r="E15" s="119"/>
      <c r="F15" s="120"/>
      <c r="G15" s="121"/>
      <c r="H15" s="10" t="str">
        <f t="shared" si="2"/>
        <v/>
      </c>
    </row>
    <row r="16">
      <c r="B16" s="119"/>
      <c r="C16" s="118"/>
      <c r="D16" s="119"/>
      <c r="E16" s="119"/>
      <c r="F16" s="120"/>
      <c r="G16" s="121"/>
      <c r="H16" s="10" t="str">
        <f t="shared" si="2"/>
        <v/>
      </c>
    </row>
    <row r="17">
      <c r="B17" s="119"/>
      <c r="C17" s="118"/>
      <c r="D17" s="119"/>
      <c r="E17" s="119"/>
      <c r="F17" s="120"/>
      <c r="G17" s="121"/>
      <c r="H17" s="10" t="str">
        <f t="shared" si="2"/>
        <v/>
      </c>
    </row>
    <row r="18">
      <c r="B18" s="119"/>
      <c r="C18" s="118"/>
      <c r="D18" s="119"/>
      <c r="E18" s="119"/>
      <c r="F18" s="120"/>
      <c r="G18" s="121"/>
      <c r="H18" s="10" t="str">
        <f t="shared" si="2"/>
        <v/>
      </c>
    </row>
    <row r="19">
      <c r="B19" s="119"/>
      <c r="C19" s="118"/>
      <c r="D19" s="119"/>
      <c r="E19" s="119"/>
      <c r="F19" s="120"/>
      <c r="G19" s="121"/>
      <c r="H19" s="10" t="str">
        <f t="shared" si="2"/>
        <v/>
      </c>
    </row>
    <row r="20">
      <c r="B20" s="119"/>
      <c r="C20" s="118"/>
      <c r="D20" s="119"/>
      <c r="E20" s="119"/>
      <c r="F20" s="120"/>
      <c r="G20" s="121"/>
      <c r="H20" s="10" t="str">
        <f t="shared" si="2"/>
        <v/>
      </c>
    </row>
    <row r="21">
      <c r="B21" s="119"/>
      <c r="C21" s="118"/>
      <c r="D21" s="119"/>
      <c r="E21" s="119"/>
      <c r="F21" s="120"/>
      <c r="G21" s="121"/>
      <c r="H21" s="10" t="str">
        <f t="shared" si="2"/>
        <v/>
      </c>
    </row>
    <row r="22">
      <c r="B22" s="119"/>
      <c r="C22" s="118"/>
      <c r="D22" s="119"/>
      <c r="E22" s="119"/>
      <c r="F22" s="120"/>
      <c r="G22" s="121"/>
      <c r="H22" s="10" t="str">
        <f t="shared" si="2"/>
        <v/>
      </c>
    </row>
    <row r="23">
      <c r="B23" s="119"/>
      <c r="C23" s="118"/>
      <c r="D23" s="119"/>
      <c r="E23" s="119"/>
      <c r="F23" s="120"/>
      <c r="G23" s="121"/>
      <c r="H23" s="10" t="str">
        <f t="shared" si="2"/>
        <v/>
      </c>
    </row>
    <row r="24">
      <c r="B24" s="119"/>
      <c r="C24" s="118"/>
      <c r="D24" s="119"/>
      <c r="E24" s="119"/>
      <c r="F24" s="120"/>
      <c r="G24" s="121"/>
      <c r="H24" s="10" t="str">
        <f t="shared" si="2"/>
        <v/>
      </c>
    </row>
    <row r="25">
      <c r="B25" s="119"/>
      <c r="C25" s="118"/>
      <c r="D25" s="119"/>
      <c r="E25" s="119"/>
      <c r="F25" s="120"/>
      <c r="G25" s="121"/>
      <c r="H25" s="10" t="str">
        <f t="shared" si="2"/>
        <v/>
      </c>
    </row>
    <row r="26">
      <c r="B26" s="119"/>
      <c r="C26" s="118"/>
      <c r="D26" s="119"/>
      <c r="E26" s="119"/>
      <c r="F26" s="120"/>
      <c r="G26" s="121"/>
      <c r="H26" s="10" t="str">
        <f t="shared" si="2"/>
        <v/>
      </c>
    </row>
    <row r="27">
      <c r="B27" s="119"/>
      <c r="C27" s="118"/>
      <c r="D27" s="119"/>
      <c r="E27" s="119"/>
      <c r="F27" s="120"/>
      <c r="G27" s="121"/>
      <c r="H27" s="10" t="str">
        <f t="shared" si="2"/>
        <v/>
      </c>
    </row>
    <row r="28">
      <c r="B28" s="119"/>
      <c r="C28" s="118"/>
      <c r="D28" s="119"/>
      <c r="E28" s="119"/>
      <c r="F28" s="120"/>
      <c r="G28" s="121"/>
      <c r="H28" s="10" t="str">
        <f t="shared" si="2"/>
        <v/>
      </c>
    </row>
    <row r="29">
      <c r="B29" s="119"/>
      <c r="C29" s="118"/>
      <c r="D29" s="119"/>
      <c r="E29" s="119"/>
      <c r="F29" s="120"/>
      <c r="G29" s="121"/>
      <c r="H29" s="10" t="str">
        <f t="shared" si="2"/>
        <v/>
      </c>
    </row>
    <row r="30">
      <c r="B30" s="119"/>
      <c r="C30" s="118"/>
      <c r="D30" s="119"/>
      <c r="E30" s="119"/>
      <c r="F30" s="120"/>
      <c r="G30" s="121"/>
      <c r="H30" s="10" t="str">
        <f t="shared" si="2"/>
        <v/>
      </c>
    </row>
    <row r="31">
      <c r="B31" s="119"/>
      <c r="C31" s="118"/>
      <c r="D31" s="119"/>
      <c r="E31" s="119"/>
      <c r="F31" s="120"/>
      <c r="G31" s="121"/>
      <c r="H31" s="10" t="str">
        <f t="shared" si="2"/>
        <v/>
      </c>
    </row>
    <row r="32">
      <c r="B32" s="119"/>
      <c r="C32" s="118"/>
      <c r="D32" s="119"/>
      <c r="E32" s="119"/>
      <c r="F32" s="120"/>
      <c r="G32" s="121"/>
      <c r="H32" s="10" t="str">
        <f t="shared" si="2"/>
        <v/>
      </c>
    </row>
    <row r="33">
      <c r="B33" s="119"/>
      <c r="C33" s="118"/>
      <c r="D33" s="119"/>
      <c r="E33" s="119"/>
      <c r="F33" s="120"/>
      <c r="G33" s="121"/>
      <c r="H33" s="10" t="str">
        <f t="shared" si="2"/>
        <v/>
      </c>
    </row>
    <row r="34">
      <c r="B34" s="119"/>
      <c r="C34" s="118"/>
      <c r="D34" s="119"/>
      <c r="E34" s="119"/>
      <c r="F34" s="120"/>
      <c r="G34" s="121"/>
      <c r="H34" s="10" t="str">
        <f t="shared" si="2"/>
        <v/>
      </c>
    </row>
    <row r="35">
      <c r="B35" s="119"/>
      <c r="C35" s="118"/>
      <c r="D35" s="119"/>
      <c r="E35" s="119"/>
      <c r="F35" s="120"/>
      <c r="G35" s="121"/>
      <c r="H35" s="10" t="str">
        <f t="shared" si="2"/>
        <v/>
      </c>
    </row>
    <row r="36">
      <c r="B36" s="119"/>
      <c r="C36" s="118"/>
      <c r="D36" s="119"/>
      <c r="E36" s="119"/>
      <c r="F36" s="120"/>
      <c r="G36" s="121"/>
      <c r="H36" s="10" t="str">
        <f t="shared" si="2"/>
        <v/>
      </c>
    </row>
    <row r="37">
      <c r="B37" s="119"/>
      <c r="C37" s="118"/>
      <c r="D37" s="119"/>
      <c r="E37" s="119"/>
      <c r="F37" s="120"/>
      <c r="G37" s="121"/>
      <c r="H37" s="10" t="str">
        <f t="shared" si="2"/>
        <v/>
      </c>
    </row>
    <row r="38">
      <c r="B38" s="119"/>
      <c r="C38" s="118"/>
      <c r="D38" s="119"/>
      <c r="E38" s="119"/>
      <c r="F38" s="120"/>
      <c r="G38" s="121"/>
      <c r="H38" s="10" t="str">
        <f t="shared" si="2"/>
        <v/>
      </c>
    </row>
    <row r="39">
      <c r="B39" s="119"/>
      <c r="C39" s="118"/>
      <c r="D39" s="119"/>
      <c r="E39" s="119"/>
      <c r="F39" s="120"/>
      <c r="G39" s="121"/>
      <c r="H39" s="10" t="str">
        <f t="shared" si="2"/>
        <v/>
      </c>
    </row>
    <row r="40">
      <c r="B40" s="119"/>
      <c r="C40" s="118"/>
      <c r="D40" s="119"/>
      <c r="E40" s="119"/>
      <c r="F40" s="120"/>
      <c r="G40" s="121"/>
      <c r="H40" s="10" t="str">
        <f t="shared" si="2"/>
        <v/>
      </c>
    </row>
    <row r="41">
      <c r="B41" s="119"/>
      <c r="C41" s="118"/>
      <c r="D41" s="119"/>
      <c r="E41" s="119"/>
      <c r="F41" s="120"/>
      <c r="G41" s="121"/>
      <c r="H41" s="10" t="str">
        <f t="shared" si="2"/>
        <v/>
      </c>
    </row>
    <row r="42">
      <c r="B42" s="119"/>
      <c r="C42" s="118"/>
      <c r="D42" s="119"/>
      <c r="E42" s="119"/>
      <c r="F42" s="120"/>
      <c r="G42" s="121"/>
      <c r="H42" s="10" t="str">
        <f t="shared" si="2"/>
        <v/>
      </c>
    </row>
    <row r="43">
      <c r="B43" s="119"/>
      <c r="C43" s="118"/>
      <c r="D43" s="119"/>
      <c r="E43" s="119"/>
      <c r="F43" s="120"/>
      <c r="G43" s="121"/>
      <c r="H43" s="10" t="str">
        <f t="shared" si="2"/>
        <v/>
      </c>
    </row>
    <row r="44">
      <c r="B44" s="119"/>
      <c r="C44" s="118"/>
      <c r="D44" s="119"/>
      <c r="E44" s="119"/>
      <c r="F44" s="120"/>
      <c r="G44" s="121"/>
      <c r="H44" s="10" t="str">
        <f t="shared" si="2"/>
        <v/>
      </c>
    </row>
    <row r="45">
      <c r="B45" s="119"/>
      <c r="C45" s="118"/>
      <c r="D45" s="119"/>
      <c r="E45" s="119"/>
      <c r="F45" s="120"/>
      <c r="G45" s="121"/>
      <c r="H45" s="10" t="str">
        <f t="shared" si="2"/>
        <v/>
      </c>
    </row>
    <row r="46">
      <c r="B46" s="119"/>
      <c r="C46" s="118"/>
      <c r="D46" s="119"/>
      <c r="E46" s="119"/>
      <c r="F46" s="120"/>
      <c r="G46" s="121"/>
      <c r="H46" s="10" t="str">
        <f t="shared" si="2"/>
        <v/>
      </c>
    </row>
    <row r="47">
      <c r="B47" s="119"/>
      <c r="C47" s="118"/>
      <c r="D47" s="119"/>
      <c r="E47" s="119"/>
      <c r="F47" s="120"/>
      <c r="G47" s="121"/>
      <c r="H47" s="10" t="str">
        <f t="shared" si="2"/>
        <v/>
      </c>
    </row>
    <row r="48">
      <c r="B48" s="119"/>
      <c r="C48" s="118"/>
      <c r="D48" s="119"/>
      <c r="E48" s="119"/>
      <c r="F48" s="120"/>
      <c r="G48" s="121"/>
      <c r="H48" s="10" t="str">
        <f t="shared" si="2"/>
        <v/>
      </c>
    </row>
    <row r="49">
      <c r="B49" s="119"/>
      <c r="C49" s="118"/>
      <c r="D49" s="119"/>
      <c r="E49" s="119"/>
      <c r="F49" s="120"/>
      <c r="G49" s="121"/>
      <c r="H49" s="10" t="str">
        <f t="shared" si="2"/>
        <v/>
      </c>
    </row>
    <row r="50">
      <c r="B50" s="119"/>
      <c r="C50" s="118"/>
      <c r="D50" s="119"/>
      <c r="E50" s="119"/>
      <c r="F50" s="120"/>
      <c r="G50" s="121"/>
      <c r="H50" s="10" t="str">
        <f t="shared" si="2"/>
        <v/>
      </c>
    </row>
    <row r="51">
      <c r="B51" s="119"/>
      <c r="C51" s="118"/>
      <c r="D51" s="119"/>
      <c r="E51" s="119"/>
      <c r="F51" s="120"/>
      <c r="G51" s="121"/>
      <c r="H51" s="10" t="str">
        <f t="shared" si="2"/>
        <v/>
      </c>
    </row>
    <row r="52">
      <c r="B52" s="119"/>
      <c r="C52" s="118"/>
      <c r="D52" s="119"/>
      <c r="E52" s="119"/>
      <c r="F52" s="120"/>
      <c r="G52" s="121"/>
      <c r="H52" s="10" t="str">
        <f t="shared" si="2"/>
        <v/>
      </c>
    </row>
    <row r="53">
      <c r="B53" s="119"/>
      <c r="C53" s="118"/>
      <c r="D53" s="119"/>
      <c r="E53" s="119"/>
      <c r="F53" s="120"/>
      <c r="G53" s="121"/>
      <c r="H53" s="10" t="str">
        <f t="shared" si="2"/>
        <v/>
      </c>
    </row>
    <row r="54">
      <c r="B54" s="119"/>
      <c r="C54" s="118"/>
      <c r="D54" s="119"/>
      <c r="E54" s="119"/>
      <c r="F54" s="120"/>
      <c r="G54" s="121"/>
      <c r="H54" s="10" t="str">
        <f t="shared" si="2"/>
        <v/>
      </c>
    </row>
    <row r="55">
      <c r="B55" s="119"/>
      <c r="C55" s="118"/>
      <c r="D55" s="119"/>
      <c r="E55" s="119"/>
      <c r="F55" s="120"/>
      <c r="G55" s="121"/>
      <c r="H55" s="10" t="str">
        <f t="shared" si="2"/>
        <v/>
      </c>
    </row>
    <row r="56">
      <c r="B56" s="119"/>
      <c r="C56" s="118"/>
      <c r="D56" s="119"/>
      <c r="E56" s="119"/>
      <c r="F56" s="120"/>
      <c r="G56" s="121"/>
      <c r="H56" s="10" t="str">
        <f t="shared" si="2"/>
        <v/>
      </c>
    </row>
    <row r="57">
      <c r="B57" s="119"/>
      <c r="C57" s="118"/>
      <c r="D57" s="119"/>
      <c r="E57" s="119"/>
      <c r="F57" s="120"/>
      <c r="G57" s="121"/>
      <c r="H57" s="10" t="str">
        <f t="shared" si="2"/>
        <v/>
      </c>
    </row>
    <row r="58">
      <c r="B58" s="119"/>
      <c r="C58" s="118"/>
      <c r="D58" s="119"/>
      <c r="E58" s="119"/>
      <c r="F58" s="120"/>
      <c r="G58" s="121"/>
      <c r="H58" s="10" t="str">
        <f t="shared" si="2"/>
        <v/>
      </c>
    </row>
    <row r="59">
      <c r="B59" s="119"/>
      <c r="C59" s="118"/>
      <c r="D59" s="119"/>
      <c r="E59" s="119"/>
      <c r="F59" s="120"/>
      <c r="G59" s="121"/>
      <c r="H59" s="10" t="str">
        <f t="shared" si="2"/>
        <v/>
      </c>
    </row>
    <row r="60">
      <c r="B60" s="119"/>
      <c r="C60" s="118"/>
      <c r="D60" s="119"/>
      <c r="E60" s="119"/>
      <c r="F60" s="120"/>
      <c r="G60" s="121"/>
      <c r="H60" s="10" t="str">
        <f t="shared" si="2"/>
        <v/>
      </c>
    </row>
    <row r="61">
      <c r="B61" s="119"/>
      <c r="C61" s="118"/>
      <c r="D61" s="119"/>
      <c r="E61" s="119"/>
      <c r="F61" s="120"/>
      <c r="G61" s="121"/>
      <c r="H61" s="10" t="str">
        <f t="shared" si="2"/>
        <v/>
      </c>
    </row>
    <row r="62">
      <c r="B62" s="119"/>
      <c r="C62" s="118"/>
      <c r="D62" s="119"/>
      <c r="E62" s="119"/>
      <c r="F62" s="120"/>
      <c r="G62" s="121"/>
      <c r="H62" s="10" t="str">
        <f t="shared" si="2"/>
        <v/>
      </c>
    </row>
    <row r="63">
      <c r="B63" s="119"/>
      <c r="C63" s="118"/>
      <c r="D63" s="119"/>
      <c r="E63" s="119"/>
      <c r="F63" s="120"/>
      <c r="G63" s="121"/>
      <c r="H63" s="10" t="str">
        <f t="shared" si="2"/>
        <v/>
      </c>
    </row>
    <row r="64">
      <c r="B64" s="119"/>
      <c r="C64" s="118"/>
      <c r="D64" s="119"/>
      <c r="E64" s="119"/>
      <c r="F64" s="120"/>
      <c r="G64" s="121"/>
      <c r="H64" s="10" t="str">
        <f t="shared" si="2"/>
        <v/>
      </c>
    </row>
    <row r="65">
      <c r="B65" s="119"/>
      <c r="C65" s="118"/>
      <c r="D65" s="119"/>
      <c r="E65" s="119"/>
      <c r="F65" s="120"/>
      <c r="G65" s="121"/>
      <c r="H65" s="10" t="str">
        <f t="shared" si="2"/>
        <v/>
      </c>
    </row>
    <row r="66">
      <c r="B66" s="119"/>
      <c r="C66" s="118"/>
      <c r="D66" s="119"/>
      <c r="E66" s="119"/>
      <c r="F66" s="120"/>
      <c r="G66" s="121"/>
      <c r="H66" s="10" t="str">
        <f t="shared" si="2"/>
        <v/>
      </c>
    </row>
    <row r="67">
      <c r="B67" s="119"/>
      <c r="C67" s="118"/>
      <c r="D67" s="119"/>
      <c r="E67" s="119"/>
      <c r="F67" s="120"/>
      <c r="G67" s="121"/>
      <c r="H67" s="10" t="str">
        <f t="shared" si="2"/>
        <v/>
      </c>
    </row>
    <row r="68">
      <c r="B68" s="119"/>
      <c r="C68" s="118"/>
      <c r="D68" s="119"/>
      <c r="E68" s="119"/>
      <c r="F68" s="120"/>
      <c r="G68" s="121"/>
      <c r="H68" s="10" t="str">
        <f t="shared" si="2"/>
        <v/>
      </c>
    </row>
    <row r="69">
      <c r="B69" s="119"/>
      <c r="C69" s="118"/>
      <c r="D69" s="119"/>
      <c r="E69" s="119"/>
      <c r="F69" s="120"/>
      <c r="G69" s="121"/>
      <c r="H69" s="10" t="str">
        <f t="shared" si="2"/>
        <v/>
      </c>
    </row>
    <row r="70">
      <c r="B70" s="119"/>
      <c r="C70" s="118"/>
      <c r="D70" s="119"/>
      <c r="E70" s="119"/>
      <c r="F70" s="120"/>
      <c r="G70" s="121"/>
      <c r="H70" s="10" t="str">
        <f t="shared" si="2"/>
        <v/>
      </c>
    </row>
    <row r="71">
      <c r="B71" s="119"/>
      <c r="C71" s="118"/>
      <c r="D71" s="119"/>
      <c r="E71" s="119"/>
      <c r="F71" s="120"/>
      <c r="G71" s="121"/>
      <c r="H71" s="10" t="str">
        <f t="shared" si="2"/>
        <v/>
      </c>
    </row>
    <row r="72">
      <c r="B72" s="119"/>
      <c r="C72" s="118"/>
      <c r="D72" s="119"/>
      <c r="E72" s="119"/>
      <c r="F72" s="120"/>
      <c r="G72" s="121"/>
      <c r="H72" s="10" t="str">
        <f t="shared" si="2"/>
        <v/>
      </c>
    </row>
    <row r="73">
      <c r="B73" s="119"/>
      <c r="C73" s="118"/>
      <c r="D73" s="119"/>
      <c r="E73" s="119"/>
      <c r="F73" s="120"/>
      <c r="G73" s="121"/>
      <c r="H73" s="10" t="str">
        <f t="shared" si="2"/>
        <v/>
      </c>
    </row>
    <row r="74">
      <c r="B74" s="119"/>
      <c r="C74" s="118"/>
      <c r="D74" s="119"/>
      <c r="E74" s="119"/>
      <c r="F74" s="120"/>
      <c r="G74" s="121"/>
      <c r="H74" s="10" t="str">
        <f t="shared" si="2"/>
        <v/>
      </c>
    </row>
    <row r="75">
      <c r="B75" s="119"/>
      <c r="C75" s="118"/>
      <c r="D75" s="119"/>
      <c r="E75" s="119"/>
      <c r="F75" s="120"/>
      <c r="G75" s="121"/>
      <c r="H75" s="10" t="str">
        <f t="shared" si="2"/>
        <v/>
      </c>
    </row>
    <row r="76">
      <c r="B76" s="119"/>
      <c r="C76" s="118"/>
      <c r="D76" s="119"/>
      <c r="E76" s="119"/>
      <c r="F76" s="120"/>
      <c r="G76" s="121"/>
      <c r="H76" s="10" t="str">
        <f t="shared" si="2"/>
        <v/>
      </c>
    </row>
    <row r="77">
      <c r="B77" s="119"/>
      <c r="C77" s="118"/>
      <c r="D77" s="119"/>
      <c r="E77" s="119"/>
      <c r="F77" s="120"/>
      <c r="G77" s="121"/>
      <c r="H77" s="10" t="str">
        <f t="shared" si="2"/>
        <v/>
      </c>
    </row>
    <row r="78">
      <c r="B78" s="119"/>
      <c r="C78" s="118"/>
      <c r="D78" s="119"/>
      <c r="E78" s="119"/>
      <c r="F78" s="120"/>
      <c r="G78" s="121"/>
      <c r="H78" s="10" t="str">
        <f t="shared" si="2"/>
        <v/>
      </c>
    </row>
    <row r="79">
      <c r="B79" s="119"/>
      <c r="C79" s="118"/>
      <c r="D79" s="119"/>
      <c r="E79" s="119"/>
      <c r="F79" s="120"/>
      <c r="G79" s="121"/>
      <c r="H79" s="10" t="str">
        <f t="shared" si="2"/>
        <v/>
      </c>
    </row>
    <row r="80">
      <c r="B80" s="119"/>
      <c r="C80" s="118"/>
      <c r="D80" s="119"/>
      <c r="E80" s="119"/>
      <c r="F80" s="120"/>
      <c r="G80" s="121"/>
      <c r="H80" s="10" t="str">
        <f t="shared" si="2"/>
        <v/>
      </c>
    </row>
    <row r="81">
      <c r="B81" s="119"/>
      <c r="C81" s="118"/>
      <c r="D81" s="119"/>
      <c r="E81" s="119"/>
      <c r="F81" s="120"/>
      <c r="G81" s="121"/>
      <c r="H81" s="10" t="str">
        <f t="shared" si="2"/>
        <v/>
      </c>
    </row>
    <row r="82">
      <c r="B82" s="119"/>
      <c r="C82" s="118"/>
      <c r="D82" s="119"/>
      <c r="E82" s="119"/>
      <c r="F82" s="120"/>
      <c r="G82" s="121"/>
      <c r="H82" s="10" t="str">
        <f t="shared" si="2"/>
        <v/>
      </c>
    </row>
    <row r="83">
      <c r="B83" s="119"/>
      <c r="C83" s="118"/>
      <c r="D83" s="119"/>
      <c r="E83" s="119"/>
      <c r="F83" s="120"/>
      <c r="G83" s="121"/>
      <c r="H83" s="10" t="str">
        <f t="shared" si="2"/>
        <v/>
      </c>
    </row>
    <row r="84">
      <c r="B84" s="119"/>
      <c r="C84" s="118"/>
      <c r="D84" s="119"/>
      <c r="E84" s="119"/>
      <c r="F84" s="120"/>
      <c r="G84" s="121"/>
      <c r="H84" s="10" t="str">
        <f t="shared" si="2"/>
        <v/>
      </c>
    </row>
    <row r="85">
      <c r="B85" s="119"/>
      <c r="C85" s="118"/>
      <c r="D85" s="119"/>
      <c r="E85" s="119"/>
      <c r="F85" s="120"/>
      <c r="G85" s="121"/>
      <c r="H85" s="10" t="str">
        <f t="shared" si="2"/>
        <v/>
      </c>
    </row>
    <row r="86">
      <c r="B86" s="119"/>
      <c r="C86" s="118"/>
      <c r="D86" s="119"/>
      <c r="E86" s="119"/>
      <c r="F86" s="120"/>
      <c r="G86" s="121"/>
      <c r="H86" s="10" t="str">
        <f t="shared" si="2"/>
        <v/>
      </c>
    </row>
    <row r="87">
      <c r="B87" s="119"/>
      <c r="C87" s="118"/>
      <c r="D87" s="119"/>
      <c r="E87" s="119"/>
      <c r="F87" s="120"/>
      <c r="G87" s="121"/>
      <c r="H87" s="10" t="str">
        <f t="shared" si="2"/>
        <v/>
      </c>
    </row>
    <row r="88">
      <c r="B88" s="119"/>
      <c r="C88" s="118"/>
      <c r="D88" s="119"/>
      <c r="E88" s="119"/>
      <c r="F88" s="120"/>
      <c r="G88" s="121"/>
      <c r="H88" s="10" t="str">
        <f t="shared" si="2"/>
        <v/>
      </c>
    </row>
    <row r="89">
      <c r="B89" s="119"/>
      <c r="C89" s="118"/>
      <c r="D89" s="119"/>
      <c r="E89" s="119"/>
      <c r="F89" s="120"/>
      <c r="G89" s="121"/>
      <c r="H89" s="10" t="str">
        <f t="shared" si="2"/>
        <v/>
      </c>
    </row>
    <row r="90">
      <c r="B90" s="119"/>
      <c r="C90" s="118"/>
      <c r="D90" s="119"/>
      <c r="E90" s="119"/>
      <c r="F90" s="120"/>
      <c r="G90" s="121"/>
      <c r="H90" s="10" t="str">
        <f t="shared" si="2"/>
        <v/>
      </c>
    </row>
    <row r="91">
      <c r="B91" s="119"/>
      <c r="C91" s="118"/>
      <c r="D91" s="119"/>
      <c r="E91" s="119"/>
      <c r="F91" s="120"/>
      <c r="G91" s="121"/>
      <c r="H91" s="10" t="str">
        <f t="shared" si="2"/>
        <v/>
      </c>
    </row>
    <row r="92">
      <c r="B92" s="119"/>
      <c r="C92" s="118"/>
      <c r="D92" s="119"/>
      <c r="E92" s="119"/>
      <c r="F92" s="120"/>
      <c r="G92" s="121"/>
      <c r="H92" s="10" t="str">
        <f t="shared" si="2"/>
        <v/>
      </c>
    </row>
    <row r="93">
      <c r="B93" s="119"/>
      <c r="C93" s="118"/>
      <c r="D93" s="119"/>
      <c r="E93" s="119"/>
      <c r="F93" s="120"/>
      <c r="G93" s="121"/>
      <c r="H93" s="10" t="str">
        <f t="shared" si="2"/>
        <v/>
      </c>
    </row>
    <row r="94">
      <c r="B94" s="119"/>
      <c r="C94" s="118"/>
      <c r="D94" s="119"/>
      <c r="E94" s="119"/>
      <c r="F94" s="120"/>
      <c r="G94" s="121"/>
      <c r="H94" s="10" t="str">
        <f t="shared" si="2"/>
        <v/>
      </c>
    </row>
    <row r="95">
      <c r="B95" s="119"/>
      <c r="C95" s="118"/>
      <c r="D95" s="119"/>
      <c r="E95" s="119"/>
      <c r="F95" s="120"/>
      <c r="G95" s="121"/>
      <c r="H95" s="10" t="str">
        <f t="shared" si="2"/>
        <v/>
      </c>
    </row>
    <row r="96">
      <c r="B96" s="119"/>
      <c r="C96" s="118"/>
      <c r="D96" s="119"/>
      <c r="E96" s="119"/>
      <c r="F96" s="120"/>
      <c r="G96" s="12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2" t="s">
        <v>178</v>
      </c>
      <c r="C1" s="43"/>
      <c r="D1" s="44"/>
    </row>
    <row r="2" ht="15.75" customHeight="1">
      <c r="B2" s="123" t="s">
        <v>179</v>
      </c>
      <c r="C2" s="43"/>
      <c r="D2" s="44"/>
    </row>
    <row r="3" ht="7.5" customHeight="1"/>
    <row r="4" ht="66.75" customHeight="1">
      <c r="B4" s="124" t="s">
        <v>180</v>
      </c>
      <c r="C4" s="125" t="s">
        <v>181</v>
      </c>
      <c r="D4" s="126" t="s">
        <v>182</v>
      </c>
    </row>
    <row r="5" ht="48.75" customHeight="1">
      <c r="B5" s="124" t="s">
        <v>183</v>
      </c>
      <c r="C5" s="125" t="s">
        <v>184</v>
      </c>
      <c r="D5" s="126" t="s">
        <v>185</v>
      </c>
    </row>
    <row r="6" ht="54.75" customHeight="1">
      <c r="B6" s="124" t="s">
        <v>186</v>
      </c>
      <c r="C6" s="125" t="s">
        <v>187</v>
      </c>
      <c r="D6" s="126" t="s">
        <v>188</v>
      </c>
    </row>
    <row r="7" ht="31.5" customHeight="1">
      <c r="B7" s="124" t="s">
        <v>189</v>
      </c>
      <c r="C7" s="125" t="s">
        <v>190</v>
      </c>
      <c r="D7" s="126" t="s">
        <v>191</v>
      </c>
    </row>
    <row r="8" ht="75.75" customHeight="1">
      <c r="B8" s="127" t="s">
        <v>192</v>
      </c>
      <c r="C8" s="128" t="s">
        <v>193</v>
      </c>
      <c r="D8" s="126" t="s">
        <v>194</v>
      </c>
    </row>
    <row r="9" ht="42.0" customHeight="1">
      <c r="B9" s="127" t="s">
        <v>195</v>
      </c>
      <c r="C9" s="128" t="s">
        <v>196</v>
      </c>
      <c r="D9" s="126" t="s">
        <v>197</v>
      </c>
    </row>
    <row r="10" ht="64.5" customHeight="1">
      <c r="B10" s="129" t="s">
        <v>198</v>
      </c>
      <c r="C10" s="130" t="s">
        <v>199</v>
      </c>
      <c r="D10" s="126" t="s">
        <v>200</v>
      </c>
    </row>
    <row r="11" ht="60.0" customHeight="1">
      <c r="B11" s="129" t="s">
        <v>201</v>
      </c>
      <c r="C11" s="130" t="s">
        <v>202</v>
      </c>
      <c r="D11" s="126" t="s">
        <v>203</v>
      </c>
    </row>
    <row r="12" ht="82.5" customHeight="1">
      <c r="B12" s="131" t="s">
        <v>204</v>
      </c>
      <c r="C12" s="132" t="s">
        <v>205</v>
      </c>
      <c r="D12" s="126" t="s">
        <v>206</v>
      </c>
    </row>
    <row r="13" ht="67.5" customHeight="1">
      <c r="B13" s="131" t="s">
        <v>207</v>
      </c>
      <c r="C13" s="132" t="s">
        <v>208</v>
      </c>
      <c r="D13" s="126" t="s">
        <v>209</v>
      </c>
    </row>
    <row r="14" ht="81.75" customHeight="1">
      <c r="B14" s="133" t="s">
        <v>210</v>
      </c>
      <c r="C14" s="134" t="s">
        <v>211</v>
      </c>
      <c r="D14" s="126" t="s">
        <v>212</v>
      </c>
    </row>
    <row r="15" ht="72.0" customHeight="1">
      <c r="B15" s="135" t="s">
        <v>213</v>
      </c>
      <c r="C15" s="136" t="s">
        <v>214</v>
      </c>
      <c r="D15" s="126" t="s">
        <v>215</v>
      </c>
    </row>
    <row r="16" ht="61.5" customHeight="1">
      <c r="B16" s="129" t="s">
        <v>216</v>
      </c>
      <c r="C16" s="130" t="s">
        <v>217</v>
      </c>
      <c r="D16" s="126" t="s">
        <v>218</v>
      </c>
    </row>
    <row r="17" ht="67.5" customHeight="1">
      <c r="B17" s="135" t="s">
        <v>219</v>
      </c>
      <c r="C17" s="136" t="s">
        <v>220</v>
      </c>
      <c r="D17" s="126" t="s">
        <v>221</v>
      </c>
    </row>
    <row r="18" ht="66.75" customHeight="1">
      <c r="B18" s="131" t="s">
        <v>222</v>
      </c>
      <c r="C18" s="132" t="s">
        <v>223</v>
      </c>
      <c r="D18" s="126" t="s">
        <v>224</v>
      </c>
    </row>
    <row r="20" ht="19.5" customHeight="1">
      <c r="B20" s="137" t="s">
        <v>225</v>
      </c>
      <c r="C20" s="43"/>
      <c r="D20" s="44"/>
    </row>
    <row r="21" ht="18.0" customHeight="1">
      <c r="B21" s="138" t="s">
        <v>70</v>
      </c>
      <c r="C21" s="138" t="s">
        <v>226</v>
      </c>
      <c r="D21" s="138" t="s">
        <v>227</v>
      </c>
    </row>
    <row r="22" ht="16.5" customHeight="1">
      <c r="B22" s="139" t="s">
        <v>38</v>
      </c>
      <c r="C22" s="140" t="s">
        <v>228</v>
      </c>
      <c r="D22" s="141" t="s">
        <v>229</v>
      </c>
    </row>
    <row r="23" ht="16.5" customHeight="1">
      <c r="B23" s="139" t="s">
        <v>26</v>
      </c>
      <c r="C23" s="140" t="s">
        <v>230</v>
      </c>
      <c r="D23" s="141" t="s">
        <v>231</v>
      </c>
    </row>
    <row r="24" ht="16.5" customHeight="1">
      <c r="B24" s="142" t="s">
        <v>83</v>
      </c>
      <c r="C24" s="143" t="s">
        <v>232</v>
      </c>
      <c r="D24" s="141" t="s">
        <v>233</v>
      </c>
    </row>
    <row r="25" ht="16.5" customHeight="1">
      <c r="B25" s="139" t="s">
        <v>85</v>
      </c>
      <c r="C25" s="140" t="s">
        <v>234</v>
      </c>
      <c r="D25" s="141" t="s">
        <v>235</v>
      </c>
    </row>
    <row r="26" ht="16.5" customHeight="1">
      <c r="B26" s="144" t="s">
        <v>35</v>
      </c>
      <c r="C26" s="145" t="s">
        <v>236</v>
      </c>
      <c r="D26" s="141" t="s">
        <v>237</v>
      </c>
    </row>
    <row r="27" ht="16.5" customHeight="1">
      <c r="B27" s="146" t="s">
        <v>90</v>
      </c>
      <c r="C27" s="147" t="s">
        <v>238</v>
      </c>
      <c r="D27" s="141" t="s">
        <v>239</v>
      </c>
    </row>
    <row r="28" ht="16.5" customHeight="1">
      <c r="B28" s="139" t="s">
        <v>49</v>
      </c>
      <c r="C28" s="140" t="s">
        <v>240</v>
      </c>
      <c r="D28" s="141" t="s">
        <v>241</v>
      </c>
    </row>
    <row r="29" ht="16.5" customHeight="1">
      <c r="B29" s="139" t="s">
        <v>47</v>
      </c>
      <c r="C29" s="140" t="s">
        <v>242</v>
      </c>
      <c r="D29" s="141" t="s">
        <v>243</v>
      </c>
    </row>
    <row r="30" ht="16.5" customHeight="1">
      <c r="B30" s="144" t="s">
        <v>19</v>
      </c>
      <c r="C30" s="145" t="s">
        <v>244</v>
      </c>
      <c r="D30" s="141" t="s">
        <v>245</v>
      </c>
    </row>
    <row r="31" ht="16.5" customHeight="1">
      <c r="B31" s="144" t="s">
        <v>43</v>
      </c>
      <c r="C31" s="145" t="s">
        <v>246</v>
      </c>
      <c r="D31" s="141" t="s">
        <v>247</v>
      </c>
    </row>
    <row r="32" ht="16.5" customHeight="1">
      <c r="B32" s="148" t="s">
        <v>115</v>
      </c>
      <c r="C32" s="149" t="s">
        <v>248</v>
      </c>
      <c r="D32" s="141" t="s">
        <v>249</v>
      </c>
    </row>
    <row r="33" ht="16.5" customHeight="1">
      <c r="B33" s="139" t="s">
        <v>23</v>
      </c>
      <c r="C33" s="140" t="s">
        <v>250</v>
      </c>
      <c r="D33" s="141" t="s">
        <v>251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50" t="s">
        <v>252</v>
      </c>
      <c r="B1" s="150" t="s">
        <v>253</v>
      </c>
      <c r="C1" s="150" t="s">
        <v>136</v>
      </c>
      <c r="D1" s="150"/>
      <c r="E1" s="150"/>
    </row>
    <row r="2">
      <c r="A2" s="151">
        <v>46165.0</v>
      </c>
      <c r="B2" s="150" t="s">
        <v>254</v>
      </c>
      <c r="C2" s="152">
        <v>10000.0</v>
      </c>
      <c r="D2" s="150"/>
      <c r="E2" s="150"/>
    </row>
    <row r="3">
      <c r="A3" s="151">
        <v>46166.0</v>
      </c>
      <c r="B3" s="150" t="s">
        <v>255</v>
      </c>
      <c r="C3" s="152">
        <v>19000.0</v>
      </c>
      <c r="D3" s="150"/>
      <c r="E3" s="150"/>
    </row>
    <row r="4">
      <c r="A4" s="151">
        <v>46168.0</v>
      </c>
      <c r="B4" s="150" t="s">
        <v>256</v>
      </c>
      <c r="C4" s="153">
        <v>2500.0</v>
      </c>
      <c r="D4" s="150"/>
      <c r="E4" s="150"/>
    </row>
    <row r="5">
      <c r="A5" s="151">
        <v>46169.0</v>
      </c>
      <c r="B5" s="150" t="s">
        <v>257</v>
      </c>
      <c r="C5" s="152">
        <v>29050.0</v>
      </c>
      <c r="D5" s="150"/>
      <c r="E5" s="150"/>
    </row>
    <row r="6">
      <c r="A6" s="151">
        <v>46169.0</v>
      </c>
      <c r="B6" s="150" t="s">
        <v>258</v>
      </c>
      <c r="C6" s="153">
        <v>100.0</v>
      </c>
      <c r="D6" s="150"/>
      <c r="E6" s="150"/>
    </row>
    <row r="7">
      <c r="A7" s="151">
        <v>46169.0</v>
      </c>
      <c r="B7" s="150" t="s">
        <v>259</v>
      </c>
      <c r="C7" s="153">
        <v>300.0</v>
      </c>
      <c r="D7" s="150"/>
      <c r="E7" s="150"/>
    </row>
    <row r="8">
      <c r="A8" s="151">
        <v>46169.0</v>
      </c>
      <c r="B8" s="150" t="s">
        <v>260</v>
      </c>
      <c r="C8" s="153">
        <v>370.0</v>
      </c>
      <c r="D8" s="150"/>
      <c r="E8" s="150"/>
    </row>
    <row r="9">
      <c r="A9" s="151">
        <v>46169.0</v>
      </c>
      <c r="B9" s="150" t="s">
        <v>261</v>
      </c>
      <c r="C9" s="153">
        <v>2494.0</v>
      </c>
      <c r="D9" s="150"/>
      <c r="E9" s="150"/>
    </row>
    <row r="10">
      <c r="A10" s="151">
        <v>46169.0</v>
      </c>
      <c r="B10" s="150" t="s">
        <v>262</v>
      </c>
      <c r="C10" s="153">
        <v>5000.0</v>
      </c>
      <c r="D10" s="150"/>
      <c r="E10" s="150"/>
    </row>
    <row r="11">
      <c r="A11" s="151">
        <v>46169.0</v>
      </c>
      <c r="B11" s="150" t="s">
        <v>263</v>
      </c>
      <c r="C11" s="152">
        <v>29000.0</v>
      </c>
      <c r="D11" s="150" t="s">
        <v>264</v>
      </c>
      <c r="E11" s="153">
        <v>24000.0</v>
      </c>
    </row>
    <row r="12">
      <c r="A12" s="151">
        <v>46169.0</v>
      </c>
      <c r="B12" s="150" t="s">
        <v>265</v>
      </c>
      <c r="C12" s="153">
        <v>400.0</v>
      </c>
      <c r="D12" s="150" t="s">
        <v>266</v>
      </c>
      <c r="E12" s="152">
        <v>53000.0</v>
      </c>
    </row>
    <row r="13">
      <c r="A13" s="151">
        <v>46169.0</v>
      </c>
      <c r="B13" s="150" t="s">
        <v>267</v>
      </c>
      <c r="C13" s="153">
        <v>600.0</v>
      </c>
      <c r="D13" s="150"/>
      <c r="E13" s="150"/>
    </row>
    <row r="14">
      <c r="A14" s="151">
        <v>46170.0</v>
      </c>
      <c r="B14" s="150"/>
      <c r="C14" s="150"/>
      <c r="D14" s="150"/>
      <c r="E14" s="150"/>
    </row>
    <row r="22">
      <c r="A22" s="150" t="s">
        <v>268</v>
      </c>
      <c r="B22" s="150" t="s">
        <v>252</v>
      </c>
      <c r="C22" s="150" t="s">
        <v>269</v>
      </c>
      <c r="D22" s="150" t="s">
        <v>136</v>
      </c>
      <c r="E22" s="150" t="s">
        <v>270</v>
      </c>
    </row>
    <row r="23">
      <c r="A23" s="150" t="s">
        <v>271</v>
      </c>
      <c r="B23" s="150" t="s">
        <v>272</v>
      </c>
      <c r="C23" s="150" t="s">
        <v>273</v>
      </c>
      <c r="D23" s="153">
        <v>3150.0</v>
      </c>
      <c r="E23" s="154">
        <v>46464.0</v>
      </c>
    </row>
    <row r="24">
      <c r="A24" s="150" t="s">
        <v>271</v>
      </c>
      <c r="B24" s="150" t="s">
        <v>272</v>
      </c>
      <c r="C24" s="150" t="s">
        <v>274</v>
      </c>
      <c r="D24" s="153">
        <v>2650.0</v>
      </c>
      <c r="E24" s="154">
        <v>46219.0</v>
      </c>
    </row>
    <row r="25">
      <c r="A25" s="150" t="s">
        <v>271</v>
      </c>
      <c r="B25" s="150" t="s">
        <v>272</v>
      </c>
      <c r="C25" s="150" t="s">
        <v>275</v>
      </c>
      <c r="D25" s="153">
        <v>2600.0</v>
      </c>
      <c r="E25" s="154">
        <v>46828.0</v>
      </c>
    </row>
    <row r="26">
      <c r="A26" s="150" t="s">
        <v>271</v>
      </c>
      <c r="B26" s="150" t="s">
        <v>272</v>
      </c>
      <c r="C26" s="150" t="s">
        <v>276</v>
      </c>
      <c r="D26" s="153">
        <v>2680.0</v>
      </c>
      <c r="E26" s="155">
        <v>46863.0</v>
      </c>
    </row>
    <row r="27">
      <c r="A27" s="150" t="s">
        <v>277</v>
      </c>
      <c r="B27" s="150" t="s">
        <v>278</v>
      </c>
      <c r="C27" s="150" t="s">
        <v>279</v>
      </c>
      <c r="D27" s="153">
        <v>5390.0</v>
      </c>
      <c r="E27" s="154">
        <v>46764.0</v>
      </c>
    </row>
    <row r="28">
      <c r="A28" s="150" t="s">
        <v>277</v>
      </c>
      <c r="B28" s="150" t="s">
        <v>278</v>
      </c>
      <c r="C28" s="150" t="s">
        <v>280</v>
      </c>
      <c r="D28" s="153">
        <v>3235.0</v>
      </c>
      <c r="E28" s="154">
        <v>46673.0</v>
      </c>
    </row>
    <row r="29">
      <c r="A29" s="150" t="s">
        <v>277</v>
      </c>
      <c r="B29" s="150" t="s">
        <v>278</v>
      </c>
      <c r="C29" s="150" t="s">
        <v>281</v>
      </c>
      <c r="D29" s="153">
        <v>1230.0</v>
      </c>
      <c r="E29" s="150" t="s">
        <v>282</v>
      </c>
    </row>
    <row r="30">
      <c r="A30" s="150" t="s">
        <v>283</v>
      </c>
      <c r="B30" s="150"/>
      <c r="C30" s="150" t="s">
        <v>273</v>
      </c>
      <c r="D30" s="153">
        <v>2960.0</v>
      </c>
      <c r="E30" s="150"/>
    </row>
    <row r="31">
      <c r="A31" s="150" t="s">
        <v>283</v>
      </c>
      <c r="B31" s="150"/>
      <c r="C31" s="150" t="s">
        <v>279</v>
      </c>
      <c r="D31" s="153">
        <v>2960.0</v>
      </c>
      <c r="E31" s="150"/>
    </row>
    <row r="32">
      <c r="A32" s="150" t="s">
        <v>284</v>
      </c>
      <c r="B32" s="150" t="s">
        <v>285</v>
      </c>
      <c r="C32" s="150"/>
      <c r="D32" s="153">
        <v>5000.0</v>
      </c>
      <c r="E32" s="150" t="s">
        <v>286</v>
      </c>
    </row>
    <row r="42">
      <c r="A42" s="156" t="s">
        <v>287</v>
      </c>
      <c r="B42" s="150"/>
      <c r="C42" s="150"/>
      <c r="D42" s="150"/>
      <c r="E42" s="150"/>
      <c r="F42" s="150"/>
      <c r="G42" s="150"/>
      <c r="H42" s="150"/>
      <c r="I42" s="150"/>
      <c r="J42" s="150"/>
    </row>
    <row r="43">
      <c r="A43" s="150"/>
      <c r="B43" s="150"/>
      <c r="C43" s="150"/>
      <c r="D43" s="150"/>
      <c r="E43" s="150"/>
      <c r="F43" s="150"/>
      <c r="G43" s="150"/>
      <c r="H43" s="150"/>
      <c r="I43" s="150"/>
      <c r="J43" s="150"/>
    </row>
    <row r="44">
      <c r="A44" s="150"/>
      <c r="B44" s="150"/>
      <c r="C44" s="150"/>
      <c r="D44" s="150"/>
      <c r="E44" s="150"/>
      <c r="F44" s="150"/>
      <c r="G44" s="150"/>
      <c r="H44" s="150"/>
      <c r="I44" s="150"/>
      <c r="J44" s="150"/>
    </row>
    <row r="45">
      <c r="A45" s="157" t="s">
        <v>6</v>
      </c>
      <c r="B45" s="157" t="s">
        <v>288</v>
      </c>
      <c r="C45" s="157" t="s">
        <v>289</v>
      </c>
      <c r="D45" s="157" t="s">
        <v>77</v>
      </c>
      <c r="E45" s="157" t="s">
        <v>290</v>
      </c>
      <c r="F45" s="157" t="s">
        <v>291</v>
      </c>
      <c r="G45" s="157" t="s">
        <v>292</v>
      </c>
      <c r="H45" s="157" t="s">
        <v>293</v>
      </c>
      <c r="I45" s="157" t="s">
        <v>294</v>
      </c>
      <c r="J45" s="157" t="s">
        <v>295</v>
      </c>
    </row>
    <row r="46">
      <c r="A46" s="158" t="s">
        <v>296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297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298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8" t="s">
        <v>299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76" t="s">
        <v>300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8" t="s">
        <v>301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1" t="s">
        <v>252</v>
      </c>
      <c r="B61" s="181" t="s">
        <v>302</v>
      </c>
      <c r="C61" s="181" t="s">
        <v>136</v>
      </c>
      <c r="D61" s="181" t="s">
        <v>303</v>
      </c>
      <c r="E61" s="181" t="s">
        <v>304</v>
      </c>
      <c r="F61" s="181" t="s">
        <v>305</v>
      </c>
      <c r="G61" s="181" t="s">
        <v>136</v>
      </c>
      <c r="H61" s="150"/>
      <c r="I61" s="181" t="s">
        <v>306</v>
      </c>
      <c r="J61" s="150" t="s">
        <v>307</v>
      </c>
    </row>
    <row r="62">
      <c r="A62" s="151">
        <v>46143.0</v>
      </c>
      <c r="B62" s="150" t="s">
        <v>308</v>
      </c>
      <c r="C62" s="182">
        <v>11839.0</v>
      </c>
      <c r="D62" s="183" t="b">
        <v>1</v>
      </c>
      <c r="E62" s="150" t="s">
        <v>309</v>
      </c>
      <c r="F62" s="150" t="s">
        <v>310</v>
      </c>
      <c r="G62" s="182">
        <v>71000.0</v>
      </c>
      <c r="H62" s="150"/>
      <c r="I62" s="181" t="s">
        <v>311</v>
      </c>
      <c r="J62" s="182">
        <f>SUM(C62:C1000)</f>
        <v>84657</v>
      </c>
    </row>
    <row r="63">
      <c r="A63" s="151">
        <v>46144.0</v>
      </c>
      <c r="B63" s="150" t="s">
        <v>312</v>
      </c>
      <c r="C63" s="182">
        <v>3850.0</v>
      </c>
      <c r="D63" s="183" t="b">
        <v>1</v>
      </c>
      <c r="E63" s="150" t="s">
        <v>313</v>
      </c>
      <c r="F63" s="150"/>
      <c r="G63" s="184"/>
      <c r="H63" s="150"/>
      <c r="I63" s="181" t="s">
        <v>293</v>
      </c>
      <c r="J63" s="182">
        <f>SUMIFS(C62:C1000, D62:D1000, TRUE)</f>
        <v>50435</v>
      </c>
    </row>
    <row r="64">
      <c r="A64" s="151">
        <v>46145.0</v>
      </c>
      <c r="B64" s="150" t="s">
        <v>314</v>
      </c>
      <c r="C64" s="182">
        <v>4627.0</v>
      </c>
      <c r="D64" s="183" t="b">
        <v>1</v>
      </c>
      <c r="E64" s="150"/>
      <c r="F64" s="150"/>
      <c r="G64" s="184"/>
      <c r="H64" s="150"/>
      <c r="I64" s="181" t="s">
        <v>315</v>
      </c>
      <c r="J64" s="182">
        <f>SUMIFS(C62:C1000, D62:D1000, FALSE)</f>
        <v>34222</v>
      </c>
    </row>
    <row r="65">
      <c r="A65" s="151">
        <v>46147.0</v>
      </c>
      <c r="B65" s="150" t="s">
        <v>316</v>
      </c>
      <c r="C65" s="182">
        <v>5000.0</v>
      </c>
      <c r="D65" s="183" t="b">
        <v>1</v>
      </c>
      <c r="E65" s="150"/>
      <c r="F65" s="150"/>
      <c r="G65" s="184"/>
      <c r="H65" s="150"/>
      <c r="I65" s="181" t="s">
        <v>317</v>
      </c>
      <c r="J65" s="182">
        <f>SUM(G62:G1000)</f>
        <v>71000</v>
      </c>
    </row>
    <row r="66">
      <c r="A66" s="151">
        <v>46167.0</v>
      </c>
      <c r="B66" s="150" t="s">
        <v>318</v>
      </c>
      <c r="C66" s="182">
        <v>18972.0</v>
      </c>
      <c r="D66" s="183" t="b">
        <v>0</v>
      </c>
      <c r="E66" s="185">
        <v>97110.0</v>
      </c>
      <c r="F66" s="150"/>
      <c r="G66" s="184"/>
      <c r="H66" s="150"/>
      <c r="I66" s="181" t="s">
        <v>319</v>
      </c>
      <c r="J66" s="182">
        <f>J65-J62</f>
        <v>-13657</v>
      </c>
    </row>
    <row r="67">
      <c r="A67" s="151">
        <v>46146.0</v>
      </c>
      <c r="B67" s="150" t="s">
        <v>320</v>
      </c>
      <c r="C67" s="182">
        <v>13625.0</v>
      </c>
      <c r="D67" s="183" t="b">
        <v>1</v>
      </c>
      <c r="E67" s="150" t="s">
        <v>321</v>
      </c>
      <c r="F67" s="150"/>
      <c r="G67" s="184"/>
      <c r="H67" s="150"/>
      <c r="I67" s="150"/>
      <c r="J67" s="150"/>
    </row>
    <row r="68">
      <c r="A68" s="151">
        <v>46145.0</v>
      </c>
      <c r="B68" s="150" t="s">
        <v>322</v>
      </c>
      <c r="C68" s="182">
        <v>2494.0</v>
      </c>
      <c r="D68" s="183" t="b">
        <v>1</v>
      </c>
      <c r="E68" s="150"/>
      <c r="F68" s="150"/>
      <c r="G68" s="184"/>
      <c r="H68" s="150"/>
      <c r="I68" s="150"/>
      <c r="J68" s="150"/>
    </row>
    <row r="69">
      <c r="A69" s="151">
        <v>46144.0</v>
      </c>
      <c r="B69" s="150" t="s">
        <v>323</v>
      </c>
      <c r="C69" s="182">
        <v>4500.0</v>
      </c>
      <c r="D69" s="183" t="b">
        <v>1</v>
      </c>
      <c r="E69" s="150"/>
      <c r="F69" s="150"/>
      <c r="G69" s="184"/>
      <c r="H69" s="150"/>
      <c r="I69" s="150"/>
      <c r="J69" s="150"/>
    </row>
    <row r="70">
      <c r="A70" s="151">
        <v>46152.0</v>
      </c>
      <c r="B70" s="150" t="s">
        <v>324</v>
      </c>
      <c r="C70" s="182">
        <v>1500.0</v>
      </c>
      <c r="D70" s="183" t="b">
        <v>1</v>
      </c>
      <c r="E70" s="150"/>
      <c r="F70" s="150"/>
      <c r="G70" s="184"/>
      <c r="H70" s="150"/>
      <c r="I70" s="150"/>
      <c r="J70" s="150"/>
    </row>
    <row r="71">
      <c r="A71" s="151">
        <v>46152.0</v>
      </c>
      <c r="B71" s="150" t="s">
        <v>325</v>
      </c>
      <c r="C71" s="182">
        <v>3000.0</v>
      </c>
      <c r="D71" s="183" t="b">
        <v>1</v>
      </c>
      <c r="E71" s="150"/>
      <c r="F71" s="150"/>
      <c r="G71" s="184"/>
      <c r="H71" s="150"/>
      <c r="I71" s="150"/>
      <c r="J71" s="150"/>
    </row>
    <row r="72">
      <c r="A72" s="151">
        <v>46157.0</v>
      </c>
      <c r="B72" s="150" t="s">
        <v>326</v>
      </c>
      <c r="C72" s="182">
        <v>15250.0</v>
      </c>
      <c r="D72" s="183" t="b">
        <v>0</v>
      </c>
      <c r="E72" s="150"/>
      <c r="F72" s="150"/>
      <c r="G72" s="184"/>
      <c r="H72" s="150"/>
      <c r="I72" s="150"/>
      <c r="J72" s="150"/>
    </row>
  </sheetData>
  <drawing r:id="rId1"/>
  <tableParts count="1">
    <tablePart r:id="rId3"/>
  </tableParts>
</worksheet>
</file>