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<sst xmlns="http://schemas.openxmlformats.org/spreadsheetml/2006/main" count="460" uniqueCount="350">
  <si>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</si>
  <si>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</si>
  <si>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</si>
  <si>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</si>
  <si>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</si>
  <si>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</si>
  <si>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</si>
  <si>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</si>
  <si>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</si>
  <si>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Amount</t>
  </si>
  <si>
    <t>Notes</t>
  </si>
  <si>
    <t>Total Income</t>
  </si>
  <si>
    <t>Month-by-Month Payment View — May 2026 to Dec 2030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</si>
  <si>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</si>
  <si>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</si>
  <si>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</si>
  <si>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</si>
  <si>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</si>
  <si>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</si>
  <si>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</si>
  <si>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</si>
  <si>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</si>
  <si>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</si>
  <si>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</si>
  <si>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</si>
  <si>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</si>
  <si>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</si>
  <si>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</si>
  <si>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</si>
  <si>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</si>
  <si>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</si>
  <si>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</si>
  <si>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</si>
  <si>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</si>
  <si>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</si>
  <si>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</si>
  <si>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Krishnamoorthy</t>
  </si>
  <si>
    <t xml:space="preserve">GRINDER &amp; FAN </t>
  </si>
  <si>
    <t>Apr 2031</t>
  </si>
  <si>
    <t>EMI FROM JULY 1740</t>
  </si>
  <si>
    <t>Income</t>
  </si>
  <si>
    <t>Total EMI</t>
  </si>
  <si>
    <t>SivaPriya</t>
  </si>
  <si>
    <t>20% rate – highest cost loan</t>
  </si>
  <si>
    <t>Thandal</t>
  </si>
  <si>
    <t>Expenses</t>
  </si>
  <si>
    <t>SBI Personal
(SivaPriya)</t>
  </si>
  <si>
    <t>From Raghuls 6250                           2 June</t>
  </si>
  <si>
    <t>Free Cash</t>
  </si>
  <si>
    <t>D Mart</t>
  </si>
  <si>
    <t>Jan 2028</t>
  </si>
  <si>
    <t>Naresh gave 11,000.                     6/2/2026</t>
  </si>
  <si>
    <t>Events</t>
  </si>
  <si>
    <t xml:space="preserve">snacks </t>
  </si>
  <si>
    <t>21 EMIs left</t>
  </si>
  <si>
    <t>Equitas Home
(Appa)</t>
  </si>
  <si>
    <t>NareshKumar</t>
  </si>
  <si>
    <t>Veera kattu potathu</t>
  </si>
  <si>
    <t xml:space="preserve">TVS </t>
  </si>
  <si>
    <t>Credit Card</t>
  </si>
  <si>
    <t>(4K from Raghuls&amp; 1k Naresh).  6/4/2026</t>
  </si>
  <si>
    <t>Home Loan</t>
  </si>
  <si>
    <t>TVS Excel
(Appa)</t>
  </si>
  <si>
    <t xml:space="preserve">Home expense </t>
  </si>
  <si>
    <t>Dec 2030</t>
  </si>
  <si>
    <t>DIO Loan</t>
  </si>
  <si>
    <t xml:space="preserve">From Gold Loan.                                 5 June </t>
  </si>
  <si>
    <t>Samasta 1</t>
  </si>
  <si>
    <t>Samasta 2</t>
  </si>
  <si>
    <t>Veera Scooty EMI</t>
  </si>
  <si>
    <t>Samasta 3</t>
  </si>
  <si>
    <t>Samasta 4</t>
  </si>
  <si>
    <t>No prepayment penalty!</t>
  </si>
  <si>
    <t xml:space="preserve">எண்ணெய் செட்டியார் </t>
  </si>
  <si>
    <t>ESAF 1</t>
  </si>
  <si>
    <t>ESAF 2</t>
  </si>
  <si>
    <t xml:space="preserve">Plumper </t>
  </si>
  <si>
    <t>ESAF 3</t>
  </si>
  <si>
    <t>Oct 2026</t>
  </si>
  <si>
    <t xml:space="preserve">Sivapriya Tablet </t>
  </si>
  <si>
    <t>Aasirvad 1</t>
  </si>
  <si>
    <t xml:space="preserve">From Gold Loan.                                 6 June </t>
  </si>
  <si>
    <t>Urgent – 36-48% interest!</t>
  </si>
  <si>
    <t xml:space="preserve">Veera Hospital Expenses </t>
  </si>
  <si>
    <t>Aasirvad 1 2</t>
  </si>
  <si>
    <t>Vehicle</t>
  </si>
  <si>
    <t>Other Loan</t>
  </si>
  <si>
    <t>EMI</t>
  </si>
  <si>
    <t>Jul 2027</t>
  </si>
  <si>
    <t>Jun 2026</t>
  </si>
  <si>
    <t>15 EMIs left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</si>
  <si>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</si>
  <si>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</si>
  <si>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</si>
  <si>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</si>
  <si>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</si>
  <si>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</si>
  <si>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</si>
  <si>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</si>
  <si>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</si>
  <si>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</si>
  <si>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 xml:space="preserve">10,000 from Naresh </t>
  </si>
  <si>
    <t>Mar 2027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</si>
  <si>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</si>
  <si>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</si>
  <si>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</si>
  <si>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</si>
  <si>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</si>
  <si>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</si>
  <si>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</si>
  <si>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</si>
  <si>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</si>
  <si>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</si>
  <si>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</si>
  <si>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</si>
  <si>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</si>
  <si>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</si>
  <si>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</si>
  <si>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</si>
  <si>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</si>
  <si>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</si>
  <si>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</si>
  <si>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</si>
  <si>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</si>
  <si>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</si>
  <si>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</si>
  <si>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</si>
  <si>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</si>
  <si>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</si>
  <si>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</si>
  <si>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</si>
  <si>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</si>
  <si>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</si>
  <si>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</si>
  <si>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</si>
  <si>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</si>
  <si>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</si>
  <si>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</si>
  <si>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</si>
  <si>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</si>
  <si>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</si>
  <si>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</si>
  <si>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</si>
  <si>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</si>
  <si>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</si>
  <si>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</si>
  <si>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</si>
  <si>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</si>
  <si>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</si>
  <si>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</si>
  <si>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</si>
  <si>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</si>
  <si>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</si>
  <si>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</si>
  <si>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</si>
  <si>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</si>
  <si>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</si>
  <si>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</si>
  <si>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</si>
  <si>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</si>
  <si>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</si>
  <si>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Credit Card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</si>
  <si>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</si>
  <si>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</si>
  <si>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</si>
  <si>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</si>
  <si>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</si>
  <si>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</si>
  <si>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</si>
  <si>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</si>
  <si>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</si>
  <si>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</si>
  <si>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</si>
  <si>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</si>
  <si>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</si>
  <si>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</si>
  <si>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</si>
  <si>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</si>
  <si>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</si>
  <si>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</si>
  <si>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</si>
  <si>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</si>
  <si>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</si>
  <si>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</si>
  <si>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</si>
  <si>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</si>
  <si>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</si>
  <si>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</si>
  <si>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</si>
  <si>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</si>
  <si>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</si>
  <si>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</si>
  <si>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</si>
  <si>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</si>
  <si>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</si>
  <si>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</si>
  <si>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</si>
  <si>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</si>
  <si>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</si>
  <si>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</si>
  <si>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</si>
  <si>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</si>
  <si>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</si>
  <si>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</si>
  <si>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</si>
  <si>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</si>
  <si>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</si>
  <si>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</si>
  <si>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</si>
  <si>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</si>
  <si>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</si>
  <si>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</si>
  <si>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</si>
  <si>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</si>
  <si>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</si>
  <si>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</si>
  <si>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</si>
  <si>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</si>
  <si>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</si>
  <si>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</si>
  <si>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</si>
  <si>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</si>
  <si>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</si>
  <si>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</si>
  <si>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</si>
  <si>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</si>
  <si>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</si>
  <si>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</si>
  <si>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Sivapriya Loan</t>
  </si>
  <si>
    <t>Snacks</t>
  </si>
  <si>
    <t>20,000 from Naresh</t>
  </si>
  <si>
    <t xml:space="preserve">Excel EMI </t>
  </si>
  <si>
    <t>Balance-4k Appa</t>
  </si>
  <si>
    <t>Thiliban</t>
  </si>
  <si>
    <t>13-07-2026</t>
  </si>
  <si>
    <t>Equitas Home Loan</t>
  </si>
  <si>
    <t>Gold stud</t>
  </si>
  <si>
    <t xml:space="preserve">50,000 from Naresh </t>
  </si>
  <si>
    <t>Old gold(2grams)</t>
  </si>
  <si>
    <t>14-07-2026</t>
  </si>
  <si>
    <t xml:space="preserve">வார தண்டல் </t>
  </si>
  <si>
    <t>Auto</t>
  </si>
  <si>
    <t xml:space="preserve">Total amount </t>
  </si>
  <si>
    <t>Balance 32,500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</si>
  <si>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</si>
  <si>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</si>
  <si>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</si>
  <si>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</si>
  <si>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</si>
  <si>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</si>
  <si>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</si>
  <si>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</si>
  <si>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</si>
  <si>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</si>
  <si>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</si>
  <si>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</si>
  <si>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</si>
  <si>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</si>
  <si>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</si>
  <si>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</si>
  <si>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Dec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</si>
  <si>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</si>
  <si>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</si>
  <si>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</si>
  <si>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</si>
  <si>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</si>
  <si>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</si>
  <si>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</si>
  <si>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</si>
  <si>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</si>
  <si>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</si>
  <si>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</si>
  <si>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</si>
  <si>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</si>
  <si>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</si>
  <si>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</si>
  <si>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</si>
  <si>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</si>
  <si>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</si>
  <si>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</si>
  <si>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</si>
  <si>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</si>
  <si>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</si>
  <si>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</si>
  <si>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</si>
  <si>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</si>
  <si>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</si>
  <si>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</si>
  <si>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</si>
  <si>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</si>
  <si>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</si>
  <si>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ESAF 3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</si>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</sst>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5" fillId="7" fontId="12" numFmtId="0" xfId="0" applyAlignment="1" applyBorder="1" applyFill="1" applyFont="1">
      <alignment horizontal="center" vertical="center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0" fillId="0" fontId="4" numFmtId="0" xfId="0" applyFon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2" fontId="14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shrinkToFit="0" vertical="center" wrapText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1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0">
        <v>40000.0</v>
      </c>
    </row>
    <row r="5" ht="51.75" customHeight="1">
      <c r="B5" s="13" t="s">
        <v>11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28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10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38</v>
      </c>
      <c r="F8" s="37">
        <v>59.0</v>
      </c>
      <c r="G8" s="39">
        <v>1563146.0</v>
      </c>
      <c r="H8" s="40" t="s">
        <v>43</v>
      </c>
    </row>
    <row r="9" ht="21.75" customHeight="1">
      <c r="B9" s="33" t="s">
        <v>46</v>
      </c>
      <c r="C9" s="39">
        <v>11839.0</v>
      </c>
      <c r="D9" s="35" t="s">
        <v>35</v>
      </c>
      <c r="E9" s="35" t="s">
        <v>50</v>
      </c>
      <c r="F9" s="37">
        <v>20.0</v>
      </c>
      <c r="G9" s="39">
        <v>236780.0</v>
      </c>
      <c r="H9" s="40" t="s">
        <v>54</v>
      </c>
    </row>
    <row r="10" ht="21.75" customHeight="1">
      <c r="B10" s="44" t="s">
        <v>55</v>
      </c>
      <c r="C10" s="45">
        <v>15250.0</v>
      </c>
      <c r="D10" s="46" t="s">
        <v>61</v>
      </c>
      <c r="E10" s="46" t="s">
        <v>64</v>
      </c>
      <c r="F10" s="49">
        <v>55.0</v>
      </c>
      <c r="G10" s="45">
        <v>838750.0</v>
      </c>
      <c r="H10" s="50" t="s">
        <v>72</v>
      </c>
    </row>
    <row r="11" ht="21.75" customHeight="1">
      <c r="B11" s="33" t="s">
        <v>59</v>
      </c>
      <c r="C11" s="51">
        <v>18972.0</v>
      </c>
      <c r="D11" s="35" t="s">
        <v>59</v>
      </c>
      <c r="E11" s="35" t="s">
        <v>78</v>
      </c>
      <c r="F11" s="37">
        <v>5.0</v>
      </c>
      <c r="G11" s="39">
        <v>94860.0</v>
      </c>
      <c r="H11" s="40" t="s">
        <v>82</v>
      </c>
    </row>
    <row r="12" ht="21.75" customHeight="1">
      <c r="B12" s="53" t="s">
        <v>62</v>
      </c>
      <c r="C12" s="54">
        <v>5087.0</v>
      </c>
      <c r="D12" s="55" t="s">
        <v>85</v>
      </c>
      <c r="E12" s="55" t="s">
        <v>88</v>
      </c>
      <c r="F12" s="56">
        <v>14.0</v>
      </c>
      <c r="G12" s="54">
        <v>71218.0</v>
      </c>
      <c r="H12" s="57" t="s">
        <v>90</v>
      </c>
    </row>
    <row r="13" ht="21.75" customHeight="1">
      <c r="B13" s="53" t="s">
        <v>65</v>
      </c>
      <c r="C13" s="54">
        <v>5638.0</v>
      </c>
      <c r="D13" s="55" t="s">
        <v>85</v>
      </c>
      <c r="E13" s="55" t="s">
        <v>88</v>
      </c>
      <c r="F13" s="56">
        <v>14.0</v>
      </c>
      <c r="G13" s="54">
        <v>78932.0</v>
      </c>
      <c r="H13" s="57" t="s">
        <v>90</v>
      </c>
    </row>
    <row r="14" ht="21.75" customHeight="1">
      <c r="B14" s="59" t="s">
        <v>67</v>
      </c>
      <c r="C14" s="61">
        <v>3150.0</v>
      </c>
      <c r="D14" s="62" t="s">
        <v>99</v>
      </c>
      <c r="E14" s="62" t="s">
        <v>102</v>
      </c>
      <c r="F14" s="63">
        <v>10.0</v>
      </c>
      <c r="G14" s="61">
        <v>31500.0</v>
      </c>
      <c r="H14" s="65" t="s">
        <v>104</v>
      </c>
    </row>
    <row r="15" ht="21.75" customHeight="1">
      <c r="B15" s="59" t="s">
        <v>68</v>
      </c>
      <c r="C15" s="61">
        <v>2650.0</v>
      </c>
      <c r="D15" s="62" t="s">
        <v>99</v>
      </c>
      <c r="E15" s="62" t="s">
        <v>107</v>
      </c>
      <c r="F15" s="63">
        <v>2.0</v>
      </c>
      <c r="G15" s="61">
        <v>5300.0</v>
      </c>
      <c r="H15" s="65" t="s">
        <v>109</v>
      </c>
    </row>
    <row r="16" ht="21.75" customHeight="1">
      <c r="B16" s="59" t="s">
        <v>70</v>
      </c>
      <c r="C16" s="61">
        <v>2600.0</v>
      </c>
      <c r="D16" s="62" t="s">
        <v>99</v>
      </c>
      <c r="E16" s="62" t="s">
        <v>111</v>
      </c>
      <c r="F16" s="63">
        <v>22.0</v>
      </c>
      <c r="G16" s="61">
        <v>57200.0</v>
      </c>
      <c r="H16" s="65" t="s">
        <v>104</v>
      </c>
    </row>
    <row r="17" ht="21.75" customHeight="1">
      <c r="B17" s="59" t="s">
        <v>71</v>
      </c>
      <c r="C17" s="61">
        <v>2680.0</v>
      </c>
      <c r="D17" s="62" t="s">
        <v>99</v>
      </c>
      <c r="E17" s="62" t="s">
        <v>114</v>
      </c>
      <c r="F17" s="63">
        <v>23.0</v>
      </c>
      <c r="G17" s="61">
        <v>61640.0</v>
      </c>
      <c r="H17" s="65" t="s">
        <v>104</v>
      </c>
    </row>
    <row r="18" ht="21.75" customHeight="1">
      <c r="B18" s="59" t="s">
        <v>74</v>
      </c>
      <c r="C18" s="61">
        <v>5390.0</v>
      </c>
      <c r="D18" s="62" t="s">
        <v>99</v>
      </c>
      <c r="E18" s="62" t="s">
        <v>50</v>
      </c>
      <c r="F18" s="63">
        <v>20.0</v>
      </c>
      <c r="G18" s="61">
        <v>107800.0</v>
      </c>
      <c r="H18" s="65" t="s">
        <v>117</v>
      </c>
    </row>
    <row r="19" ht="21.75" customHeight="1">
      <c r="B19" s="59" t="s">
        <v>75</v>
      </c>
      <c r="C19" s="61">
        <v>3235.0</v>
      </c>
      <c r="D19" s="62" t="s">
        <v>99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59" t="s">
        <v>77</v>
      </c>
      <c r="C20" s="61">
        <v>1230.0</v>
      </c>
      <c r="D20" s="62" t="s">
        <v>99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3" t="s">
        <v>80</v>
      </c>
      <c r="C21" s="74">
        <v>2970.0</v>
      </c>
      <c r="D21" s="62" t="s">
        <v>99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99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86</v>
      </c>
      <c r="C23" s="61">
        <v>5000.0</v>
      </c>
      <c r="D23" s="62" t="s">
        <v>99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1" t="s">
        <v>130</v>
      </c>
      <c r="C28" s="19"/>
      <c r="D28" s="19"/>
      <c r="E28" s="19"/>
      <c r="F28" s="19"/>
      <c r="G28" s="19"/>
      <c r="H28" s="23"/>
    </row>
    <row r="29" ht="15.75" customHeight="1">
      <c r="B29" s="84" t="s">
        <v>132</v>
      </c>
      <c r="C29" s="19"/>
      <c r="D29" s="19"/>
      <c r="E29" s="19"/>
      <c r="F29" s="19"/>
      <c r="G29" s="19"/>
      <c r="H29" s="86"/>
    </row>
    <row r="30" ht="15.75" customHeight="1">
      <c r="B30" s="84" t="s">
        <v>133</v>
      </c>
      <c r="C30" s="19"/>
      <c r="D30" s="19"/>
      <c r="E30" s="19"/>
      <c r="F30" s="19"/>
      <c r="G30" s="19"/>
      <c r="H30" s="86"/>
    </row>
    <row r="31" ht="15.75" customHeight="1">
      <c r="B31" s="88" t="s">
        <v>134</v>
      </c>
      <c r="C31" s="19"/>
      <c r="D31" s="19"/>
      <c r="E31" s="19"/>
      <c r="F31" s="19"/>
      <c r="G31" s="19"/>
      <c r="H31" s="86"/>
    </row>
    <row r="32" ht="15.75" customHeight="1">
      <c r="B32" s="89" t="s">
        <v>135</v>
      </c>
      <c r="C32" s="19"/>
      <c r="D32" s="19"/>
      <c r="E32" s="19"/>
      <c r="F32" s="19"/>
      <c r="G32" s="19"/>
      <c r="H32" s="86"/>
    </row>
    <row r="33" ht="15.75" customHeight="1">
      <c r="B33" s="91" t="s">
        <v>136</v>
      </c>
      <c r="C33" s="19"/>
      <c r="D33" s="19"/>
      <c r="E33" s="19"/>
      <c r="F33" s="19"/>
      <c r="G33" s="19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3"/>
    </row>
    <row r="2" ht="15.75" customHeight="1">
      <c r="B2" s="31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3"/>
    </row>
    <row r="3" ht="7.5" customHeight="1"/>
    <row r="4" ht="36.0" customHeight="1">
      <c r="B4" s="36" t="s">
        <v>6</v>
      </c>
      <c r="C4" s="36" t="s">
        <v>40</v>
      </c>
      <c r="D4" s="36" t="s">
        <v>41</v>
      </c>
      <c r="E4" s="36" t="s">
        <v>45</v>
      </c>
      <c r="F4" s="36" t="s">
        <v>48</v>
      </c>
      <c r="G4" s="36" t="s">
        <v>52</v>
      </c>
      <c r="H4" s="43" t="s">
        <v>32</v>
      </c>
      <c r="I4" s="43" t="s">
        <v>46</v>
      </c>
      <c r="J4" s="43" t="s">
        <v>55</v>
      </c>
      <c r="K4" s="43" t="s">
        <v>59</v>
      </c>
      <c r="L4" s="43" t="s">
        <v>62</v>
      </c>
      <c r="M4" s="43" t="s">
        <v>65</v>
      </c>
      <c r="N4" s="43" t="s">
        <v>67</v>
      </c>
      <c r="O4" s="43" t="s">
        <v>68</v>
      </c>
      <c r="P4" s="43" t="s">
        <v>70</v>
      </c>
      <c r="Q4" s="43" t="s">
        <v>71</v>
      </c>
      <c r="R4" s="43" t="s">
        <v>74</v>
      </c>
      <c r="S4" s="43" t="s">
        <v>75</v>
      </c>
      <c r="T4" s="43" t="s">
        <v>77</v>
      </c>
      <c r="U4" s="52" t="s">
        <v>80</v>
      </c>
      <c r="V4" s="52" t="s">
        <v>84</v>
      </c>
      <c r="W4" s="43" t="s">
        <v>86</v>
      </c>
      <c r="X4" s="43" t="s">
        <v>87</v>
      </c>
    </row>
    <row r="5" ht="22.5" customHeight="1">
      <c r="B5" s="58" t="s">
        <v>89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107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131</v>
      </c>
      <c r="H6" s="85">
        <v>26494.0</v>
      </c>
      <c r="I6" s="85">
        <v>11839.0</v>
      </c>
      <c r="J6" s="85">
        <v>15250.0</v>
      </c>
      <c r="K6" s="87">
        <v>18972.0</v>
      </c>
      <c r="L6" s="72">
        <v>4500.0</v>
      </c>
      <c r="M6" s="72">
        <v>5000.0</v>
      </c>
      <c r="N6" s="85">
        <v>3150.0</v>
      </c>
      <c r="O6" s="90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9" t="s">
        <v>78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161</v>
      </c>
      <c r="H9" s="85">
        <v>26494.0</v>
      </c>
      <c r="I9" s="85">
        <v>11839.0</v>
      </c>
      <c r="J9" s="85">
        <v>15250.0</v>
      </c>
      <c r="K9" s="90">
        <v>18972.0</v>
      </c>
      <c r="L9" s="72">
        <v>4500.0</v>
      </c>
      <c r="M9" s="72">
        <v>5000.0</v>
      </c>
      <c r="N9" s="85">
        <v>3150.0</v>
      </c>
      <c r="O9" s="93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9">
        <v>1740.0</v>
      </c>
    </row>
    <row r="10" ht="22.5" customHeight="1">
      <c r="B10" s="94" t="s">
        <v>194</v>
      </c>
      <c r="C10" s="95">
        <f>Loans!$C$5</f>
        <v>110000</v>
      </c>
      <c r="D10" s="124">
        <f t="shared" si="1"/>
        <v>99948</v>
      </c>
      <c r="E10" s="124">
        <f>IF(B10="","",SUMIFS('June 2026 Expenses'!C:C, 'June 2026 Expenses'!A:A, "&gt;="&amp;DATEVALUE(B10), 'June 2026 Expenses'!A:A, "&lt;="&amp;EOMONTH(DATEVALUE(B10), 0)))</f>
        <v>0</v>
      </c>
      <c r="F10" s="12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260</v>
      </c>
      <c r="C11" s="92">
        <f>Loans!$C$5</f>
        <v>110000</v>
      </c>
      <c r="D11" s="144">
        <f t="shared" si="1"/>
        <v>99948</v>
      </c>
      <c r="E11" s="144">
        <f>IF(B11="","",SUMIFS('June 2026 Expenses'!C:C, 'June 2026 Expenses'!A:A, "&gt;="&amp;DATEVALUE(B11), 'June 2026 Expenses'!A:A, "&lt;="&amp;EOMONTH(DATEVALUE(B11), 0)))</f>
        <v>0</v>
      </c>
      <c r="F11" s="14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197</v>
      </c>
      <c r="C12" s="95">
        <f>Loans!$C$5</f>
        <v>110000</v>
      </c>
      <c r="D12" s="124">
        <f t="shared" si="1"/>
        <v>98208</v>
      </c>
      <c r="E12" s="124">
        <f>IF(B12="","",SUMIFS('June 2026 Expenses'!C:C, 'June 2026 Expenses'!A:A, "&gt;="&amp;DATEVALUE(B12), 'June 2026 Expenses'!A:A, "&lt;="&amp;EOMONTH(DATEVALUE(B12), 0)))</f>
        <v>0</v>
      </c>
      <c r="F12" s="12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60">
        <f>Loans!$C$5</f>
        <v>110000</v>
      </c>
      <c r="D13" s="172">
        <f t="shared" si="1"/>
        <v>98208</v>
      </c>
      <c r="E13" s="172">
        <f>IF(B13="","",SUMIFS('June 2026 Expenses'!C:C, 'June 2026 Expenses'!A:A, "&gt;="&amp;DATEVALUE(B13), 'June 2026 Expenses'!A:A, "&lt;="&amp;EOMONTH(DATEVALUE(B13), 0)))</f>
        <v>0</v>
      </c>
      <c r="F13" s="175">
        <f t="shared" si="2"/>
        <v>11792</v>
      </c>
      <c r="G13" s="83" t="s">
        <v>291</v>
      </c>
      <c r="H13" s="85">
        <v>26494.0</v>
      </c>
      <c r="I13" s="85">
        <v>11839.0</v>
      </c>
      <c r="J13" s="85">
        <v>15250.0</v>
      </c>
      <c r="K13" s="93"/>
      <c r="L13" s="72">
        <v>4500.0</v>
      </c>
      <c r="M13" s="72">
        <v>5000.0</v>
      </c>
      <c r="N13" s="85">
        <v>3150.0</v>
      </c>
      <c r="O13" s="93"/>
      <c r="P13" s="85">
        <v>2600.0</v>
      </c>
      <c r="Q13" s="85">
        <v>2680.0</v>
      </c>
      <c r="R13" s="85">
        <v>5390.0</v>
      </c>
      <c r="S13" s="85">
        <v>3235.0</v>
      </c>
      <c r="T13" s="177">
        <v>1230.0</v>
      </c>
      <c r="U13" s="85">
        <v>5920.0</v>
      </c>
      <c r="V13" s="85">
        <v>5920.0</v>
      </c>
      <c r="W13" s="85">
        <v>5000.0</v>
      </c>
      <c r="X13" s="98"/>
    </row>
    <row r="14" ht="22.5" customHeight="1">
      <c r="B14" s="79" t="s">
        <v>102</v>
      </c>
      <c r="C14" s="60">
        <f>Loans!$C$5</f>
        <v>110000</v>
      </c>
      <c r="D14" s="172">
        <f t="shared" si="1"/>
        <v>96978</v>
      </c>
      <c r="E14" s="172">
        <f>IF(B14="","",SUMIFS('June 2026 Expenses'!C:C, 'June 2026 Expenses'!A:A, "&gt;="&amp;DATEVALUE(B14), 'June 2026 Expenses'!A:A, "&lt;="&amp;EOMONTH(DATEVALUE(B14), 0)))</f>
        <v>0</v>
      </c>
      <c r="F14" s="175">
        <f t="shared" si="2"/>
        <v>13022</v>
      </c>
      <c r="G14" s="83" t="s">
        <v>304</v>
      </c>
      <c r="H14" s="85">
        <v>26494.0</v>
      </c>
      <c r="I14" s="85">
        <v>11839.0</v>
      </c>
      <c r="J14" s="85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5">
        <v>2600.0</v>
      </c>
      <c r="Q14" s="85">
        <v>2680.0</v>
      </c>
      <c r="R14" s="85">
        <v>5390.0</v>
      </c>
      <c r="S14" s="85">
        <v>3235.0</v>
      </c>
      <c r="T14" s="178"/>
      <c r="U14" s="85">
        <v>5920.0</v>
      </c>
      <c r="V14" s="85">
        <v>5920.0</v>
      </c>
      <c r="W14" s="85">
        <v>5000.0</v>
      </c>
      <c r="X14" s="98"/>
    </row>
    <row r="15" ht="22.5" customHeight="1">
      <c r="B15" s="58" t="s">
        <v>305</v>
      </c>
      <c r="C15" s="92">
        <f>Loans!$C$5</f>
        <v>110000</v>
      </c>
      <c r="D15" s="144">
        <f t="shared" si="1"/>
        <v>93828</v>
      </c>
      <c r="E15" s="144">
        <f>IF(B15="","",SUMIFS('June 2026 Expenses'!C:C, 'June 2026 Expenses'!A:A, "&gt;="&amp;DATEVALUE(B15), 'June 2026 Expenses'!A:A, "&lt;="&amp;EOMONTH(DATEVALUE(B15), 0)))</f>
        <v>0</v>
      </c>
      <c r="F15" s="14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306</v>
      </c>
      <c r="C16" s="95">
        <f>Loans!$C$5</f>
        <v>110000</v>
      </c>
      <c r="D16" s="124">
        <f t="shared" si="1"/>
        <v>93828</v>
      </c>
      <c r="E16" s="124">
        <f>IF(B16="","",SUMIFS('June 2026 Expenses'!C:C, 'June 2026 Expenses'!A:A, "&gt;="&amp;DATEVALUE(B16), 'June 2026 Expenses'!A:A, "&lt;="&amp;EOMONTH(DATEVALUE(B16), 0)))</f>
        <v>0</v>
      </c>
      <c r="F16" s="12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8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88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58" t="s">
        <v>309</v>
      </c>
      <c r="C19" s="92">
        <f>Loans!$C$5</f>
        <v>110000</v>
      </c>
      <c r="D19" s="144">
        <f t="shared" si="1"/>
        <v>84328</v>
      </c>
      <c r="E19" s="144">
        <f>IF(B19="","",SUMIFS('June 2026 Expenses'!C:C, 'June 2026 Expenses'!A:A, "&gt;="&amp;DATEVALUE(B19), 'June 2026 Expenses'!A:A, "&lt;="&amp;EOMONTH(DATEVALUE(B19), 0)))</f>
        <v>0</v>
      </c>
      <c r="F19" s="14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24">
        <f t="shared" si="1"/>
        <v>84328</v>
      </c>
      <c r="E20" s="124">
        <f>IF(B20="","",SUMIFS('June 2026 Expenses'!C:C, 'June 2026 Expenses'!A:A, "&gt;="&amp;DATEVALUE(B20), 'June 2026 Expenses'!A:A, "&lt;="&amp;EOMONTH(DATEVALUE(B20), 0)))</f>
        <v>0</v>
      </c>
      <c r="F20" s="12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8"/>
      <c r="M20" s="178"/>
      <c r="N20" s="178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118</v>
      </c>
      <c r="C21" s="60">
        <f>Loans!$C$5</f>
        <v>110000</v>
      </c>
      <c r="D21" s="172">
        <f t="shared" si="1"/>
        <v>84328</v>
      </c>
      <c r="E21" s="172">
        <f>IF(B21="","",SUMIFS('June 2026 Expenses'!C:C, 'June 2026 Expenses'!A:A, "&gt;="&amp;DATEVALUE(B21), 'June 2026 Expenses'!A:A, "&lt;="&amp;EOMONTH(DATEVALUE(B21), 0)))</f>
        <v>0</v>
      </c>
      <c r="F21" s="175">
        <f t="shared" si="2"/>
        <v>25672</v>
      </c>
      <c r="G21" s="83" t="s">
        <v>311</v>
      </c>
      <c r="H21" s="85">
        <v>26494.0</v>
      </c>
      <c r="I21" s="85">
        <v>11839.0</v>
      </c>
      <c r="J21" s="85">
        <v>15250.0</v>
      </c>
      <c r="K21" s="93"/>
      <c r="L21" s="178"/>
      <c r="M21" s="178"/>
      <c r="N21" s="178"/>
      <c r="O21" s="93"/>
      <c r="P21" s="85">
        <v>2600.0</v>
      </c>
      <c r="Q21" s="85">
        <v>2680.0</v>
      </c>
      <c r="R21" s="85">
        <v>5390.0</v>
      </c>
      <c r="S21" s="177">
        <v>3235.0</v>
      </c>
      <c r="T21" s="178"/>
      <c r="U21" s="85">
        <v>5920.0</v>
      </c>
      <c r="V21" s="85">
        <v>5920.0</v>
      </c>
      <c r="W21" s="85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24">
        <f t="shared" si="1"/>
        <v>81093</v>
      </c>
      <c r="E22" s="124">
        <f>IF(B22="","",SUMIFS('June 2026 Expenses'!C:C, 'June 2026 Expenses'!A:A, "&gt;="&amp;DATEVALUE(B22), 'June 2026 Expenses'!A:A, "&lt;="&amp;EOMONTH(DATEVALUE(B22), 0)))</f>
        <v>0</v>
      </c>
      <c r="F22" s="12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8"/>
      <c r="M22" s="178"/>
      <c r="N22" s="178"/>
      <c r="O22" s="93"/>
      <c r="P22" s="98">
        <v>2600.0</v>
      </c>
      <c r="Q22" s="98">
        <v>2680.0</v>
      </c>
      <c r="R22" s="98">
        <v>5390.0</v>
      </c>
      <c r="S22" s="178"/>
      <c r="T22" s="17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313</v>
      </c>
      <c r="C23" s="92">
        <f>Loans!$C$5</f>
        <v>110000</v>
      </c>
      <c r="D23" s="144">
        <f t="shared" si="1"/>
        <v>81093</v>
      </c>
      <c r="E23" s="144">
        <f>IF(B23="","",SUMIFS('June 2026 Expenses'!C:C, 'June 2026 Expenses'!A:A, "&gt;="&amp;DATEVALUE(B23), 'June 2026 Expenses'!A:A, "&lt;="&amp;EOMONTH(DATEVALUE(B23), 0)))</f>
        <v>0</v>
      </c>
      <c r="F23" s="14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5" t="s">
        <v>50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58" t="s">
        <v>315</v>
      </c>
      <c r="C25" s="92">
        <f>Loans!$C$5</f>
        <v>110000</v>
      </c>
      <c r="D25" s="144">
        <f t="shared" si="1"/>
        <v>63864</v>
      </c>
      <c r="E25" s="144">
        <f>IF(B25="","",SUMIFS('June 2026 Expenses'!C:C, 'June 2026 Expenses'!A:A, "&gt;="&amp;DATEVALUE(B25), 'June 2026 Expenses'!A:A, "&lt;="&amp;EOMONTH(DATEVALUE(B25), 0)))</f>
        <v>0</v>
      </c>
      <c r="F25" s="149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9" t="s">
        <v>111</v>
      </c>
      <c r="C26" s="60">
        <f>Loans!$C$5</f>
        <v>110000</v>
      </c>
      <c r="D26" s="172">
        <f t="shared" si="1"/>
        <v>63864</v>
      </c>
      <c r="E26" s="172">
        <f>IF(B26="","",SUMIFS('June 2026 Expenses'!C:C, 'June 2026 Expenses'!A:A, "&gt;="&amp;DATEVALUE(B26), 'June 2026 Expenses'!A:A, "&lt;="&amp;EOMONTH(DATEVALUE(B26), 0)))</f>
        <v>0</v>
      </c>
      <c r="F26" s="175">
        <f t="shared" si="2"/>
        <v>46136</v>
      </c>
      <c r="G26" s="83" t="s">
        <v>316</v>
      </c>
      <c r="H26" s="85">
        <v>26494.0</v>
      </c>
      <c r="I26" s="178"/>
      <c r="J26" s="85">
        <v>15250.0</v>
      </c>
      <c r="K26" s="93"/>
      <c r="L26" s="178"/>
      <c r="M26" s="178"/>
      <c r="N26" s="178"/>
      <c r="O26" s="93"/>
      <c r="P26" s="177">
        <v>2600.0</v>
      </c>
      <c r="Q26" s="85">
        <v>2680.0</v>
      </c>
      <c r="R26" s="178"/>
      <c r="S26" s="178"/>
      <c r="T26" s="178"/>
      <c r="U26" s="85">
        <v>5920.0</v>
      </c>
      <c r="V26" s="85">
        <v>5920.0</v>
      </c>
      <c r="W26" s="85">
        <v>5000.0</v>
      </c>
      <c r="X26" s="98"/>
    </row>
    <row r="27" ht="15.75" customHeight="1">
      <c r="B27" s="79" t="s">
        <v>114</v>
      </c>
      <c r="C27" s="60">
        <f>Loans!$C$5</f>
        <v>110000</v>
      </c>
      <c r="D27" s="172">
        <f t="shared" si="1"/>
        <v>61264</v>
      </c>
      <c r="E27" s="172">
        <f>IF(B27="","",SUMIFS('June 2026 Expenses'!C:C, 'June 2026 Expenses'!A:A, "&gt;="&amp;DATEVALUE(B27), 'June 2026 Expenses'!A:A, "&lt;="&amp;EOMONTH(DATEVALUE(B27), 0)))</f>
        <v>0</v>
      </c>
      <c r="F27" s="175">
        <f t="shared" si="2"/>
        <v>48736</v>
      </c>
      <c r="G27" s="83" t="s">
        <v>317</v>
      </c>
      <c r="H27" s="85">
        <v>26494.0</v>
      </c>
      <c r="I27" s="178"/>
      <c r="J27" s="85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5">
        <v>5920.0</v>
      </c>
      <c r="V27" s="85">
        <v>5920.0</v>
      </c>
      <c r="W27" s="85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24">
        <f t="shared" si="1"/>
        <v>58584</v>
      </c>
      <c r="E28" s="124">
        <f>IF(B28="","",SUMIFS('June 2026 Expenses'!C:C, 'June 2026 Expenses'!A:A, "&gt;="&amp;DATEVALUE(B28), 'June 2026 Expenses'!A:A, "&lt;="&amp;EOMONTH(DATEVALUE(B28), 0)))</f>
        <v>0</v>
      </c>
      <c r="F28" s="127">
        <f t="shared" si="2"/>
        <v>51416</v>
      </c>
      <c r="G28" s="97"/>
      <c r="H28" s="98">
        <v>26494.0</v>
      </c>
      <c r="I28" s="178"/>
      <c r="J28" s="98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60">
        <f>Loans!$C$5</f>
        <v>110000</v>
      </c>
      <c r="D29" s="172">
        <f t="shared" si="1"/>
        <v>58584</v>
      </c>
      <c r="E29" s="172">
        <f>IF(B29="","",SUMIFS('June 2026 Expenses'!C:C, 'June 2026 Expenses'!A:A, "&gt;="&amp;DATEVALUE(B29), 'June 2026 Expenses'!A:A, "&lt;="&amp;EOMONTH(DATEVALUE(B29), 0)))</f>
        <v>0</v>
      </c>
      <c r="F29" s="175">
        <f t="shared" si="2"/>
        <v>51416</v>
      </c>
      <c r="G29" s="83" t="s">
        <v>319</v>
      </c>
      <c r="H29" s="85">
        <v>26494.0</v>
      </c>
      <c r="I29" s="178"/>
      <c r="J29" s="85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5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24">
        <f t="shared" si="1"/>
        <v>46744</v>
      </c>
      <c r="E30" s="124">
        <f>IF(B30="","",SUMIFS('June 2026 Expenses'!C:C, 'June 2026 Expenses'!A:A, "&gt;="&amp;DATEVALUE(B30), 'June 2026 Expenses'!A:A, "&lt;="&amp;EOMONTH(DATEVALUE(B30), 0)))</f>
        <v>0</v>
      </c>
      <c r="F30" s="127">
        <f t="shared" si="2"/>
        <v>63256</v>
      </c>
      <c r="G30" s="97"/>
      <c r="H30" s="98">
        <v>26494.0</v>
      </c>
      <c r="I30" s="178"/>
      <c r="J30" s="98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8">
        <v>5000.0</v>
      </c>
      <c r="X30" s="98"/>
    </row>
    <row r="31" ht="15.75" customHeight="1">
      <c r="B31" s="58" t="s">
        <v>321</v>
      </c>
      <c r="C31" s="92">
        <f>Loans!$C$5</f>
        <v>110000</v>
      </c>
      <c r="D31" s="144">
        <f t="shared" si="1"/>
        <v>46744</v>
      </c>
      <c r="E31" s="144">
        <f>IF(B31="","",SUMIFS('June 2026 Expenses'!C:C, 'June 2026 Expenses'!A:A, "&gt;="&amp;DATEVALUE(B31), 'June 2026 Expenses'!A:A, "&lt;="&amp;EOMONTH(DATEVALUE(B31), 0)))</f>
        <v>0</v>
      </c>
      <c r="F31" s="149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24">
        <f t="shared" si="1"/>
        <v>46744</v>
      </c>
      <c r="E32" s="124">
        <f>IF(B32="","",SUMIFS('June 2026 Expenses'!C:C, 'June 2026 Expenses'!A:A, "&gt;="&amp;DATEVALUE(B32), 'June 2026 Expenses'!A:A, "&lt;="&amp;EOMONTH(DATEVALUE(B32), 0)))</f>
        <v>0</v>
      </c>
      <c r="F32" s="127">
        <f t="shared" si="2"/>
        <v>63256</v>
      </c>
      <c r="G32" s="97"/>
      <c r="H32" s="98">
        <v>26494.0</v>
      </c>
      <c r="I32" s="178"/>
      <c r="J32" s="98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8">
        <v>5000.0</v>
      </c>
      <c r="X32" s="98"/>
    </row>
    <row r="33" ht="15.75" customHeight="1">
      <c r="B33" s="58" t="s">
        <v>323</v>
      </c>
      <c r="C33" s="92">
        <f>Loans!$C$5</f>
        <v>110000</v>
      </c>
      <c r="D33" s="144">
        <f t="shared" si="1"/>
        <v>46744</v>
      </c>
      <c r="E33" s="144">
        <f>IF(B33="","",SUMIFS('June 2026 Expenses'!C:C, 'June 2026 Expenses'!A:A, "&gt;="&amp;DATEVALUE(B33), 'June 2026 Expenses'!A:A, "&lt;="&amp;EOMONTH(DATEVALUE(B33), 0)))</f>
        <v>0</v>
      </c>
      <c r="F33" s="149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24">
        <f t="shared" si="1"/>
        <v>46744</v>
      </c>
      <c r="E34" s="124">
        <f>IF(B34="","",SUMIFS('June 2026 Expenses'!C:C, 'June 2026 Expenses'!A:A, "&gt;="&amp;DATEVALUE(B34), 'June 2026 Expenses'!A:A, "&lt;="&amp;EOMONTH(DATEVALUE(B34), 0)))</f>
        <v>0</v>
      </c>
      <c r="F34" s="127">
        <f t="shared" si="2"/>
        <v>63256</v>
      </c>
      <c r="G34" s="97"/>
      <c r="H34" s="98">
        <v>26494.0</v>
      </c>
      <c r="I34" s="178"/>
      <c r="J34" s="98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8">
        <v>5000.0</v>
      </c>
      <c r="X34" s="98"/>
    </row>
    <row r="35" ht="15.75" customHeight="1">
      <c r="B35" s="79" t="s">
        <v>123</v>
      </c>
      <c r="C35" s="60">
        <f>Loans!$C$5</f>
        <v>110000</v>
      </c>
      <c r="D35" s="172">
        <f t="shared" si="1"/>
        <v>46744</v>
      </c>
      <c r="E35" s="172">
        <f>IF(B35="","",SUMIFS('June 2026 Expenses'!C:C, 'June 2026 Expenses'!A:A, "&gt;="&amp;DATEVALUE(B35), 'June 2026 Expenses'!A:A, "&lt;="&amp;EOMONTH(DATEVALUE(B35), 0)))</f>
        <v>0</v>
      </c>
      <c r="F35" s="175">
        <f t="shared" si="2"/>
        <v>63256</v>
      </c>
      <c r="G35" s="83" t="s">
        <v>325</v>
      </c>
      <c r="H35" s="85">
        <v>26494.0</v>
      </c>
      <c r="I35" s="178"/>
      <c r="J35" s="85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24">
        <f t="shared" si="1"/>
        <v>41744</v>
      </c>
      <c r="E36" s="124">
        <f>IF(B36="","",SUMIFS('June 2026 Expenses'!C:C, 'June 2026 Expenses'!A:A, "&gt;="&amp;DATEVALUE(B36), 'June 2026 Expenses'!A:A, "&lt;="&amp;EOMONTH(DATEVALUE(B36), 0)))</f>
        <v>0</v>
      </c>
      <c r="F36" s="127">
        <f t="shared" si="2"/>
        <v>68256</v>
      </c>
      <c r="G36" s="97"/>
      <c r="H36" s="98">
        <v>26494.0</v>
      </c>
      <c r="I36" s="178"/>
      <c r="J36" s="98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2">
        <f>Loans!$C$5</f>
        <v>110000</v>
      </c>
      <c r="D37" s="144">
        <f t="shared" si="1"/>
        <v>41744</v>
      </c>
      <c r="E37" s="144">
        <f>IF(B37="","",SUMIFS('June 2026 Expenses'!C:C, 'June 2026 Expenses'!A:A, "&gt;="&amp;DATEVALUE(B37), 'June 2026 Expenses'!A:A, "&lt;="&amp;EOMONTH(DATEVALUE(B37), 0)))</f>
        <v>0</v>
      </c>
      <c r="F37" s="149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24">
        <f t="shared" si="1"/>
        <v>41744</v>
      </c>
      <c r="E38" s="124">
        <f>IF(B38="","",SUMIFS('June 2026 Expenses'!C:C, 'June 2026 Expenses'!A:A, "&gt;="&amp;DATEVALUE(B38), 'June 2026 Expenses'!A:A, "&lt;="&amp;EOMONTH(DATEVALUE(B38), 0)))</f>
        <v>0</v>
      </c>
      <c r="F38" s="127">
        <f t="shared" si="2"/>
        <v>68256</v>
      </c>
      <c r="G38" s="97"/>
      <c r="H38" s="98">
        <v>26494.0</v>
      </c>
      <c r="I38" s="178"/>
      <c r="J38" s="98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2">
        <f>Loans!$C$5</f>
        <v>110000</v>
      </c>
      <c r="D39" s="144">
        <f t="shared" si="1"/>
        <v>41744</v>
      </c>
      <c r="E39" s="144">
        <f>IF(B39="","",SUMIFS('June 2026 Expenses'!C:C, 'June 2026 Expenses'!A:A, "&gt;="&amp;DATEVALUE(B39), 'June 2026 Expenses'!A:A, "&lt;="&amp;EOMONTH(DATEVALUE(B39), 0)))</f>
        <v>0</v>
      </c>
      <c r="F39" s="149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24">
        <f t="shared" si="1"/>
        <v>41744</v>
      </c>
      <c r="E40" s="124">
        <f>IF(B40="","",SUMIFS('June 2026 Expenses'!C:C, 'June 2026 Expenses'!A:A, "&gt;="&amp;DATEVALUE(B40), 'June 2026 Expenses'!A:A, "&lt;="&amp;EOMONTH(DATEVALUE(B40), 0)))</f>
        <v>0</v>
      </c>
      <c r="F40" s="127">
        <f t="shared" si="2"/>
        <v>68256</v>
      </c>
      <c r="G40" s="97"/>
      <c r="H40" s="98">
        <v>26494.0</v>
      </c>
      <c r="I40" s="178"/>
      <c r="J40" s="98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213</v>
      </c>
      <c r="C41" s="92">
        <f>Loans!$C$5</f>
        <v>110000</v>
      </c>
      <c r="D41" s="144">
        <f t="shared" si="1"/>
        <v>41744</v>
      </c>
      <c r="E41" s="144">
        <f>IF(B41="","",SUMIFS('June 2026 Expenses'!C:C, 'June 2026 Expenses'!A:A, "&gt;="&amp;DATEVALUE(B41), 'June 2026 Expenses'!A:A, "&lt;="&amp;EOMONTH(DATEVALUE(B41), 0)))</f>
        <v>0</v>
      </c>
      <c r="F41" s="149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24">
        <f t="shared" si="1"/>
        <v>41744</v>
      </c>
      <c r="E42" s="124">
        <f>IF(B42="","",SUMIFS('June 2026 Expenses'!C:C, 'June 2026 Expenses'!A:A, "&gt;="&amp;DATEVALUE(B42), 'June 2026 Expenses'!A:A, "&lt;="&amp;EOMONTH(DATEVALUE(B42), 0)))</f>
        <v>0</v>
      </c>
      <c r="F42" s="127">
        <f t="shared" si="2"/>
        <v>68256</v>
      </c>
      <c r="G42" s="97"/>
      <c r="H42" s="98">
        <v>26494.0</v>
      </c>
      <c r="I42" s="178"/>
      <c r="J42" s="98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2">
        <f>Loans!$C$5</f>
        <v>110000</v>
      </c>
      <c r="D43" s="144">
        <f t="shared" si="1"/>
        <v>41744</v>
      </c>
      <c r="E43" s="144">
        <f>IF(B43="","",SUMIFS('June 2026 Expenses'!C:C, 'June 2026 Expenses'!A:A, "&gt;="&amp;DATEVALUE(B43), 'June 2026 Expenses'!A:A, "&lt;="&amp;EOMONTH(DATEVALUE(B43), 0)))</f>
        <v>0</v>
      </c>
      <c r="F43" s="149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24">
        <f t="shared" si="1"/>
        <v>41744</v>
      </c>
      <c r="E44" s="124">
        <f>IF(B44="","",SUMIFS('June 2026 Expenses'!C:C, 'June 2026 Expenses'!A:A, "&gt;="&amp;DATEVALUE(B44), 'June 2026 Expenses'!A:A, "&lt;="&amp;EOMONTH(DATEVALUE(B44), 0)))</f>
        <v>0</v>
      </c>
      <c r="F44" s="127">
        <f t="shared" si="2"/>
        <v>68256</v>
      </c>
      <c r="G44" s="97"/>
      <c r="H44" s="98">
        <v>26494.0</v>
      </c>
      <c r="I44" s="178"/>
      <c r="J44" s="98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2">
        <f>Loans!$C$5</f>
        <v>110000</v>
      </c>
      <c r="D45" s="144">
        <f t="shared" si="1"/>
        <v>41744</v>
      </c>
      <c r="E45" s="144">
        <f>IF(B45="","",SUMIFS('June 2026 Expenses'!C:C, 'June 2026 Expenses'!A:A, "&gt;="&amp;DATEVALUE(B45), 'June 2026 Expenses'!A:A, "&lt;="&amp;EOMONTH(DATEVALUE(B45), 0)))</f>
        <v>0</v>
      </c>
      <c r="F45" s="149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24">
        <f t="shared" si="1"/>
        <v>41744</v>
      </c>
      <c r="E46" s="124">
        <f>IF(B46="","",SUMIFS('June 2026 Expenses'!C:C, 'June 2026 Expenses'!A:A, "&gt;="&amp;DATEVALUE(B46), 'June 2026 Expenses'!A:A, "&lt;="&amp;EOMONTH(DATEVALUE(B46), 0)))</f>
        <v>0</v>
      </c>
      <c r="F46" s="127">
        <f t="shared" si="2"/>
        <v>68256</v>
      </c>
      <c r="G46" s="97"/>
      <c r="H46" s="98">
        <v>26494.0</v>
      </c>
      <c r="I46" s="178"/>
      <c r="J46" s="98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2">
        <f>Loans!$C$5</f>
        <v>110000</v>
      </c>
      <c r="D47" s="144">
        <f t="shared" si="1"/>
        <v>41744</v>
      </c>
      <c r="E47" s="144">
        <f>IF(B47="","",SUMIFS('June 2026 Expenses'!C:C, 'June 2026 Expenses'!A:A, "&gt;="&amp;DATEVALUE(B47), 'June 2026 Expenses'!A:A, "&lt;="&amp;EOMONTH(DATEVALUE(B47), 0)))</f>
        <v>0</v>
      </c>
      <c r="F47" s="149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24">
        <f t="shared" si="1"/>
        <v>41744</v>
      </c>
      <c r="E48" s="124">
        <f>IF(B48="","",SUMIFS('June 2026 Expenses'!C:C, 'June 2026 Expenses'!A:A, "&gt;="&amp;DATEVALUE(B48), 'June 2026 Expenses'!A:A, "&lt;="&amp;EOMONTH(DATEVALUE(B48), 0)))</f>
        <v>0</v>
      </c>
      <c r="F48" s="127">
        <f t="shared" si="2"/>
        <v>68256</v>
      </c>
      <c r="G48" s="97"/>
      <c r="H48" s="98">
        <v>26494.0</v>
      </c>
      <c r="I48" s="178"/>
      <c r="J48" s="98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2">
        <f>Loans!$C$5</f>
        <v>110000</v>
      </c>
      <c r="D49" s="144">
        <f t="shared" si="1"/>
        <v>41744</v>
      </c>
      <c r="E49" s="144">
        <f>IF(B49="","",SUMIFS('June 2026 Expenses'!C:C, 'June 2026 Expenses'!A:A, "&gt;="&amp;DATEVALUE(B49), 'June 2026 Expenses'!A:A, "&lt;="&amp;EOMONTH(DATEVALUE(B49), 0)))</f>
        <v>0</v>
      </c>
      <c r="F49" s="149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24">
        <f t="shared" si="1"/>
        <v>41744</v>
      </c>
      <c r="E50" s="124">
        <f>IF(B50="","",SUMIFS('June 2026 Expenses'!C:C, 'June 2026 Expenses'!A:A, "&gt;="&amp;DATEVALUE(B50), 'June 2026 Expenses'!A:A, "&lt;="&amp;EOMONTH(DATEVALUE(B50), 0)))</f>
        <v>0</v>
      </c>
      <c r="F50" s="127">
        <f t="shared" si="2"/>
        <v>68256</v>
      </c>
      <c r="G50" s="97"/>
      <c r="H50" s="98">
        <v>26494.0</v>
      </c>
      <c r="I50" s="178"/>
      <c r="J50" s="98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2">
        <f>Loans!$C$5</f>
        <v>110000</v>
      </c>
      <c r="D51" s="144">
        <f t="shared" si="1"/>
        <v>41744</v>
      </c>
      <c r="E51" s="144">
        <f>IF(B51="","",SUMIFS('June 2026 Expenses'!C:C, 'June 2026 Expenses'!A:A, "&gt;="&amp;DATEVALUE(B51), 'June 2026 Expenses'!A:A, "&lt;="&amp;EOMONTH(DATEVALUE(B51), 0)))</f>
        <v>0</v>
      </c>
      <c r="F51" s="149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24">
        <f t="shared" si="1"/>
        <v>41744</v>
      </c>
      <c r="E52" s="124">
        <f>IF(B52="","",SUMIFS('June 2026 Expenses'!C:C, 'June 2026 Expenses'!A:A, "&gt;="&amp;DATEVALUE(B52), 'June 2026 Expenses'!A:A, "&lt;="&amp;EOMONTH(DATEVALUE(B52), 0)))</f>
        <v>0</v>
      </c>
      <c r="F52" s="127">
        <f t="shared" si="2"/>
        <v>68256</v>
      </c>
      <c r="G52" s="97"/>
      <c r="H52" s="98">
        <v>26494.0</v>
      </c>
      <c r="I52" s="178"/>
      <c r="J52" s="98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2">
        <f>Loans!$C$5</f>
        <v>110000</v>
      </c>
      <c r="D53" s="144">
        <f t="shared" si="1"/>
        <v>41744</v>
      </c>
      <c r="E53" s="144">
        <f>IF(B53="","",SUMIFS('June 2026 Expenses'!C:C, 'June 2026 Expenses'!A:A, "&gt;="&amp;DATEVALUE(B53), 'June 2026 Expenses'!A:A, "&lt;="&amp;EOMONTH(DATEVALUE(B53), 0)))</f>
        <v>0</v>
      </c>
      <c r="F53" s="149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24">
        <f t="shared" si="1"/>
        <v>41744</v>
      </c>
      <c r="E54" s="124">
        <f>IF(B54="","",SUMIFS('June 2026 Expenses'!C:C, 'June 2026 Expenses'!A:A, "&gt;="&amp;DATEVALUE(B54), 'June 2026 Expenses'!A:A, "&lt;="&amp;EOMONTH(DATEVALUE(B54), 0)))</f>
        <v>0</v>
      </c>
      <c r="F54" s="127">
        <f t="shared" si="2"/>
        <v>68256</v>
      </c>
      <c r="G54" s="97"/>
      <c r="H54" s="98">
        <v>26494.0</v>
      </c>
      <c r="I54" s="178"/>
      <c r="J54" s="98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2">
        <f>Loans!$C$5</f>
        <v>110000</v>
      </c>
      <c r="D55" s="144">
        <f t="shared" si="1"/>
        <v>41744</v>
      </c>
      <c r="E55" s="144">
        <f>IF(B55="","",SUMIFS('June 2026 Expenses'!C:C, 'June 2026 Expenses'!A:A, "&gt;="&amp;DATEVALUE(B55), 'June 2026 Expenses'!A:A, "&lt;="&amp;EOMONTH(DATEVALUE(B55), 0)))</f>
        <v>0</v>
      </c>
      <c r="F55" s="149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24">
        <f t="shared" si="1"/>
        <v>41744</v>
      </c>
      <c r="E56" s="124">
        <f>IF(B56="","",SUMIFS('June 2026 Expenses'!C:C, 'June 2026 Expenses'!A:A, "&gt;="&amp;DATEVALUE(B56), 'June 2026 Expenses'!A:A, "&lt;="&amp;EOMONTH(DATEVALUE(B56), 0)))</f>
        <v>0</v>
      </c>
      <c r="F56" s="127">
        <f t="shared" si="2"/>
        <v>68256</v>
      </c>
      <c r="G56" s="97"/>
      <c r="H56" s="98">
        <v>26494.0</v>
      </c>
      <c r="I56" s="178"/>
      <c r="J56" s="98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2">
        <f>Loans!$C$5</f>
        <v>110000</v>
      </c>
      <c r="D57" s="144">
        <f t="shared" si="1"/>
        <v>41744</v>
      </c>
      <c r="E57" s="144">
        <f>IF(B57="","",SUMIFS('June 2026 Expenses'!C:C, 'June 2026 Expenses'!A:A, "&gt;="&amp;DATEVALUE(B57), 'June 2026 Expenses'!A:A, "&lt;="&amp;EOMONTH(DATEVALUE(B57), 0)))</f>
        <v>0</v>
      </c>
      <c r="F57" s="149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24">
        <f t="shared" si="1"/>
        <v>41744</v>
      </c>
      <c r="E58" s="124">
        <f>IF(B58="","",SUMIFS('June 2026 Expenses'!C:C, 'June 2026 Expenses'!A:A, "&gt;="&amp;DATEVALUE(B58), 'June 2026 Expenses'!A:A, "&lt;="&amp;EOMONTH(DATEVALUE(B58), 0)))</f>
        <v>0</v>
      </c>
      <c r="F58" s="127">
        <f t="shared" si="2"/>
        <v>68256</v>
      </c>
      <c r="G58" s="97"/>
      <c r="H58" s="98">
        <v>26494.0</v>
      </c>
      <c r="I58" s="178"/>
      <c r="J58" s="98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9" t="s">
        <v>64</v>
      </c>
      <c r="C59" s="60">
        <f>Loans!$C$5</f>
        <v>110000</v>
      </c>
      <c r="D59" s="172">
        <f t="shared" si="1"/>
        <v>41744</v>
      </c>
      <c r="E59" s="172">
        <f>IF(B59="","",SUMIFS('June 2026 Expenses'!C:C, 'June 2026 Expenses'!A:A, "&gt;="&amp;DATEVALUE(B59), 'June 2026 Expenses'!A:A, "&lt;="&amp;EOMONTH(DATEVALUE(B59), 0)))</f>
        <v>0</v>
      </c>
      <c r="F59" s="175">
        <f t="shared" si="2"/>
        <v>68256</v>
      </c>
      <c r="G59" s="83" t="s">
        <v>349</v>
      </c>
      <c r="H59" s="85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14</v>
      </c>
      <c r="C4" s="16">
        <v>1000.0</v>
      </c>
      <c r="D4" s="18">
        <v>46174.0</v>
      </c>
    </row>
    <row r="5">
      <c r="A5" s="12">
        <v>46175.0</v>
      </c>
      <c r="B5" s="14" t="s">
        <v>21</v>
      </c>
      <c r="C5" s="16">
        <v>12000.0</v>
      </c>
      <c r="D5" s="18">
        <v>46174.0</v>
      </c>
    </row>
    <row r="6">
      <c r="A6" s="12">
        <v>46176.0</v>
      </c>
      <c r="B6" s="14" t="s">
        <v>22</v>
      </c>
      <c r="C6" s="16">
        <v>2000.0</v>
      </c>
      <c r="D6" s="18">
        <v>46176.0</v>
      </c>
    </row>
    <row r="7">
      <c r="A7" s="12">
        <v>46177.0</v>
      </c>
      <c r="B7" s="14" t="s">
        <v>25</v>
      </c>
      <c r="C7" s="16">
        <v>3000.0</v>
      </c>
      <c r="D7" s="18">
        <v>46177.0</v>
      </c>
    </row>
    <row r="8">
      <c r="A8" s="12">
        <v>46178.0</v>
      </c>
      <c r="B8" s="26" t="s">
        <v>25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4" t="s">
        <v>34</v>
      </c>
      <c r="C9" s="16">
        <v>585.0</v>
      </c>
      <c r="D9" s="18">
        <v>46179.0</v>
      </c>
    </row>
    <row r="10">
      <c r="A10" s="12">
        <v>46180.0</v>
      </c>
      <c r="B10" s="14" t="s">
        <v>37</v>
      </c>
      <c r="C10" s="16">
        <v>4208.0</v>
      </c>
      <c r="D10" s="14" t="s">
        <v>39</v>
      </c>
    </row>
    <row r="11">
      <c r="A11" s="12">
        <v>46181.0</v>
      </c>
      <c r="B11" s="14" t="s">
        <v>22</v>
      </c>
      <c r="C11" s="16">
        <v>2000.0</v>
      </c>
      <c r="D11" s="38"/>
    </row>
    <row r="12">
      <c r="A12" s="12">
        <v>46182.0</v>
      </c>
      <c r="B12" s="14" t="s">
        <v>44</v>
      </c>
      <c r="C12" s="16">
        <v>2000.0</v>
      </c>
      <c r="D12" s="14" t="s">
        <v>47</v>
      </c>
    </row>
    <row r="13">
      <c r="A13" s="12">
        <v>46174.0</v>
      </c>
      <c r="B13" s="14" t="s">
        <v>49</v>
      </c>
      <c r="C13" s="16">
        <v>9975.0</v>
      </c>
      <c r="D13" s="14" t="s">
        <v>51</v>
      </c>
    </row>
    <row r="14">
      <c r="A14" s="12">
        <v>46174.0</v>
      </c>
      <c r="B14" s="14" t="s">
        <v>53</v>
      </c>
      <c r="C14" s="16">
        <v>185.0</v>
      </c>
      <c r="D14" s="14" t="s">
        <v>51</v>
      </c>
    </row>
    <row r="15">
      <c r="A15" s="12">
        <v>46174.0</v>
      </c>
      <c r="B15" s="14" t="s">
        <v>57</v>
      </c>
      <c r="C15" s="16">
        <v>650.0</v>
      </c>
      <c r="D15" s="14" t="s">
        <v>51</v>
      </c>
    </row>
    <row r="16">
      <c r="A16" s="12">
        <v>46174.0</v>
      </c>
      <c r="B16" s="14" t="s">
        <v>58</v>
      </c>
      <c r="C16" s="16">
        <v>5077.0</v>
      </c>
      <c r="D16" s="14" t="s">
        <v>60</v>
      </c>
    </row>
    <row r="17">
      <c r="A17" s="12">
        <v>46174.0</v>
      </c>
      <c r="B17" s="14" t="s">
        <v>63</v>
      </c>
      <c r="C17" s="16">
        <v>716.0</v>
      </c>
      <c r="D17" s="14" t="s">
        <v>66</v>
      </c>
    </row>
    <row r="18">
      <c r="A18" s="12">
        <v>46175.0</v>
      </c>
      <c r="B18" s="14" t="s">
        <v>69</v>
      </c>
      <c r="C18" s="16">
        <v>5000.0</v>
      </c>
      <c r="D18" s="14" t="s">
        <v>66</v>
      </c>
    </row>
    <row r="19">
      <c r="A19" s="12">
        <v>46176.0</v>
      </c>
      <c r="B19" s="14" t="s">
        <v>73</v>
      </c>
      <c r="C19" s="16">
        <v>2000.0</v>
      </c>
      <c r="D19" s="14" t="s">
        <v>66</v>
      </c>
    </row>
    <row r="20">
      <c r="A20" s="12">
        <v>46177.0</v>
      </c>
      <c r="B20" s="14" t="s">
        <v>76</v>
      </c>
      <c r="C20" s="16">
        <v>240.0</v>
      </c>
      <c r="D20" s="14" t="s">
        <v>66</v>
      </c>
    </row>
    <row r="21">
      <c r="A21" s="12">
        <v>46178.0</v>
      </c>
      <c r="B21" s="14" t="s">
        <v>79</v>
      </c>
      <c r="C21" s="16">
        <v>512.0</v>
      </c>
      <c r="D21" s="14" t="s">
        <v>81</v>
      </c>
    </row>
    <row r="22">
      <c r="A22" s="12">
        <v>46179.0</v>
      </c>
      <c r="B22" s="14" t="s">
        <v>83</v>
      </c>
      <c r="C22" s="16">
        <v>3000.0</v>
      </c>
      <c r="D22" s="14" t="s">
        <v>81</v>
      </c>
    </row>
    <row r="23">
      <c r="A23" s="12">
        <v>46180.0</v>
      </c>
      <c r="B23" s="14" t="s">
        <v>91</v>
      </c>
      <c r="C23" s="16">
        <v>15230.0</v>
      </c>
      <c r="D23" s="14" t="s">
        <v>81</v>
      </c>
    </row>
    <row r="24">
      <c r="A24" s="12">
        <v>46181.0</v>
      </c>
      <c r="B24" s="14" t="s">
        <v>92</v>
      </c>
      <c r="C24" s="16">
        <v>1950.0</v>
      </c>
      <c r="D24" s="14" t="s">
        <v>81</v>
      </c>
    </row>
    <row r="25">
      <c r="A25" s="12">
        <v>46182.0</v>
      </c>
      <c r="B25" s="14" t="s">
        <v>93</v>
      </c>
      <c r="C25" s="16">
        <v>500.0</v>
      </c>
      <c r="D25" s="14" t="s">
        <v>94</v>
      </c>
    </row>
    <row r="26">
      <c r="A26" s="12">
        <v>46183.0</v>
      </c>
      <c r="B26" s="14" t="s">
        <v>95</v>
      </c>
      <c r="C26" s="16">
        <v>850.0</v>
      </c>
      <c r="D26" s="14" t="s">
        <v>94</v>
      </c>
    </row>
    <row r="27">
      <c r="A27" s="12">
        <v>46184.0</v>
      </c>
      <c r="B27" s="14" t="s">
        <v>96</v>
      </c>
      <c r="C27" s="16">
        <v>3000.0</v>
      </c>
      <c r="D27" s="14" t="s">
        <v>97</v>
      </c>
    </row>
    <row r="28">
      <c r="A28" s="12">
        <v>46185.0</v>
      </c>
      <c r="B28" s="14" t="s">
        <v>98</v>
      </c>
      <c r="C28" s="16">
        <v>4000.0</v>
      </c>
      <c r="D28" s="14" t="s">
        <v>97</v>
      </c>
    </row>
    <row r="29">
      <c r="A29" s="12">
        <v>46186.0</v>
      </c>
      <c r="B29" s="14" t="s">
        <v>100</v>
      </c>
      <c r="C29" s="16">
        <v>9855.0</v>
      </c>
      <c r="D29" s="14" t="s">
        <v>101</v>
      </c>
    </row>
    <row r="30">
      <c r="A30" s="12">
        <v>46187.0</v>
      </c>
      <c r="B30" s="14" t="s">
        <v>103</v>
      </c>
      <c r="C30" s="16">
        <v>590.0</v>
      </c>
      <c r="D30" s="18">
        <v>46181.0</v>
      </c>
    </row>
    <row r="31">
      <c r="A31" s="12">
        <v>46188.0</v>
      </c>
      <c r="B31" s="14" t="s">
        <v>105</v>
      </c>
      <c r="C31" s="16">
        <v>2000.0</v>
      </c>
      <c r="D31" s="18">
        <v>46184.0</v>
      </c>
    </row>
    <row r="32">
      <c r="A32" s="12">
        <v>46189.0</v>
      </c>
      <c r="B32" s="14" t="s">
        <v>106</v>
      </c>
      <c r="C32" s="16">
        <v>6000.0</v>
      </c>
      <c r="D32" s="18">
        <v>46191.0</v>
      </c>
    </row>
    <row r="33">
      <c r="A33" s="12">
        <v>46174.0</v>
      </c>
      <c r="B33" s="14" t="s">
        <v>108</v>
      </c>
      <c r="C33" s="16">
        <v>1070.0</v>
      </c>
      <c r="D33" s="18">
        <v>46193.0</v>
      </c>
    </row>
    <row r="34">
      <c r="A34" s="12">
        <v>46174.0</v>
      </c>
      <c r="B34" s="14" t="s">
        <v>110</v>
      </c>
      <c r="C34" s="16">
        <v>5000.0</v>
      </c>
      <c r="D34" s="18">
        <v>46193.0</v>
      </c>
    </row>
    <row r="35">
      <c r="A35" s="12">
        <v>46174.0</v>
      </c>
      <c r="B35" s="14" t="s">
        <v>112</v>
      </c>
      <c r="C35" s="16">
        <v>850.0</v>
      </c>
      <c r="D35" s="18">
        <v>46194.0</v>
      </c>
    </row>
    <row r="36">
      <c r="A36" s="12">
        <v>46174.0</v>
      </c>
      <c r="B36" s="14" t="s">
        <v>113</v>
      </c>
      <c r="C36" s="16">
        <v>220.0</v>
      </c>
      <c r="D36" s="18">
        <v>46194.0</v>
      </c>
    </row>
    <row r="37">
      <c r="A37" s="12">
        <v>46174.0</v>
      </c>
      <c r="B37" s="14" t="s">
        <v>115</v>
      </c>
      <c r="C37" s="16">
        <v>27500.0</v>
      </c>
      <c r="D37" s="14" t="s">
        <v>116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5</v>
      </c>
    </row>
    <row r="4">
      <c r="B4" s="15" t="s">
        <v>13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19</v>
      </c>
      <c r="H4" s="20" t="s">
        <v>20</v>
      </c>
    </row>
    <row r="5">
      <c r="B5" s="21">
        <v>55.8</v>
      </c>
      <c r="C5" s="22">
        <v>0.11</v>
      </c>
      <c r="D5" s="21" t="s">
        <v>23</v>
      </c>
      <c r="E5" s="21" t="s">
        <v>24</v>
      </c>
      <c r="F5" s="25">
        <v>391560.0</v>
      </c>
      <c r="G5" s="27">
        <v>46010.0</v>
      </c>
      <c r="H5" s="24">
        <f t="shared" ref="H5:H9" si="1">IF(OR(ISBLANK(F5), ISBLANK(G5), ISBLANK(C5)), 0, F5 * C5 * (TODAY() - G5) / 365)</f>
        <v>26078.96877</v>
      </c>
    </row>
    <row r="6">
      <c r="B6" s="21">
        <v>30.0</v>
      </c>
      <c r="C6" s="22">
        <v>0.1</v>
      </c>
      <c r="D6" s="21" t="s">
        <v>23</v>
      </c>
      <c r="E6" s="21" t="s">
        <v>36</v>
      </c>
      <c r="F6" s="25">
        <v>229500.0</v>
      </c>
      <c r="G6" s="27">
        <v>45966.0</v>
      </c>
      <c r="H6" s="24">
        <f t="shared" si="1"/>
        <v>16662.32877</v>
      </c>
    </row>
    <row r="7">
      <c r="B7" s="21">
        <v>36.9</v>
      </c>
      <c r="C7" s="22">
        <v>0.105</v>
      </c>
      <c r="D7" s="21" t="s">
        <v>23</v>
      </c>
      <c r="E7" s="21" t="s">
        <v>42</v>
      </c>
      <c r="F7" s="25">
        <v>300000.0</v>
      </c>
      <c r="G7" s="27">
        <v>46169.0</v>
      </c>
      <c r="H7" s="24">
        <f t="shared" si="1"/>
        <v>5350.684932</v>
      </c>
    </row>
    <row r="8">
      <c r="B8" s="21">
        <v>15.0</v>
      </c>
      <c r="C8" s="41"/>
      <c r="D8" s="21" t="s">
        <v>23</v>
      </c>
      <c r="E8" s="21" t="s">
        <v>42</v>
      </c>
      <c r="F8" s="25">
        <v>135000.0</v>
      </c>
      <c r="G8" s="27">
        <v>46178.0</v>
      </c>
      <c r="H8" s="24">
        <f t="shared" si="1"/>
        <v>0</v>
      </c>
    </row>
    <row r="9">
      <c r="B9" s="42"/>
      <c r="C9" s="41"/>
      <c r="D9" s="21" t="s">
        <v>23</v>
      </c>
      <c r="E9" s="21" t="s">
        <v>56</v>
      </c>
      <c r="F9" s="25">
        <v>297698.0</v>
      </c>
      <c r="G9" s="27">
        <v>46035.0</v>
      </c>
      <c r="H9" s="24">
        <f t="shared" si="1"/>
        <v>0</v>
      </c>
    </row>
    <row r="10">
      <c r="B10" s="42"/>
      <c r="C10" s="41"/>
      <c r="D10" s="42"/>
      <c r="E10" s="42"/>
      <c r="F10" s="47"/>
      <c r="G10" s="48"/>
      <c r="H10" s="24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7"/>
      <c r="G11" s="48"/>
      <c r="H11" s="24" t="str">
        <f t="shared" si="2"/>
        <v/>
      </c>
    </row>
    <row r="12">
      <c r="B12" s="42"/>
      <c r="C12" s="41"/>
      <c r="D12" s="42"/>
      <c r="E12" s="42"/>
      <c r="F12" s="47"/>
      <c r="G12" s="48"/>
      <c r="H12" s="24" t="str">
        <f t="shared" si="2"/>
        <v/>
      </c>
    </row>
    <row r="13">
      <c r="B13" s="42"/>
      <c r="C13" s="41"/>
      <c r="D13" s="42"/>
      <c r="E13" s="42"/>
      <c r="F13" s="47"/>
      <c r="G13" s="48"/>
      <c r="H13" s="24" t="str">
        <f t="shared" si="2"/>
        <v/>
      </c>
    </row>
    <row r="14">
      <c r="B14" s="42"/>
      <c r="C14" s="41"/>
      <c r="D14" s="42"/>
      <c r="E14" s="42"/>
      <c r="F14" s="47"/>
      <c r="G14" s="48"/>
      <c r="H14" s="24" t="str">
        <f t="shared" si="2"/>
        <v/>
      </c>
    </row>
    <row r="15">
      <c r="B15" s="42"/>
      <c r="C15" s="41"/>
      <c r="D15" s="42"/>
      <c r="E15" s="42"/>
      <c r="F15" s="47"/>
      <c r="G15" s="48"/>
      <c r="H15" s="24" t="str">
        <f t="shared" si="2"/>
        <v/>
      </c>
    </row>
    <row r="16">
      <c r="B16" s="42"/>
      <c r="C16" s="41"/>
      <c r="D16" s="42"/>
      <c r="E16" s="42"/>
      <c r="F16" s="47"/>
      <c r="G16" s="48"/>
      <c r="H16" s="24" t="str">
        <f t="shared" si="2"/>
        <v/>
      </c>
    </row>
    <row r="17">
      <c r="B17" s="42"/>
      <c r="C17" s="41"/>
      <c r="D17" s="42"/>
      <c r="E17" s="42"/>
      <c r="F17" s="47"/>
      <c r="G17" s="48"/>
      <c r="H17" s="24" t="str">
        <f t="shared" si="2"/>
        <v/>
      </c>
    </row>
    <row r="18">
      <c r="B18" s="42"/>
      <c r="C18" s="41"/>
      <c r="D18" s="42"/>
      <c r="E18" s="42"/>
      <c r="F18" s="47"/>
      <c r="G18" s="48"/>
      <c r="H18" s="24" t="str">
        <f t="shared" si="2"/>
        <v/>
      </c>
    </row>
    <row r="19">
      <c r="B19" s="42"/>
      <c r="C19" s="41"/>
      <c r="D19" s="42"/>
      <c r="E19" s="42"/>
      <c r="F19" s="47"/>
      <c r="G19" s="48"/>
      <c r="H19" s="24" t="str">
        <f t="shared" si="2"/>
        <v/>
      </c>
    </row>
    <row r="20">
      <c r="B20" s="42"/>
      <c r="C20" s="41"/>
      <c r="D20" s="42"/>
      <c r="E20" s="42"/>
      <c r="F20" s="47"/>
      <c r="G20" s="48"/>
      <c r="H20" s="24" t="str">
        <f t="shared" si="2"/>
        <v/>
      </c>
    </row>
    <row r="21">
      <c r="B21" s="42"/>
      <c r="C21" s="41"/>
      <c r="D21" s="42"/>
      <c r="E21" s="42"/>
      <c r="F21" s="47"/>
      <c r="G21" s="48"/>
      <c r="H21" s="24" t="str">
        <f t="shared" si="2"/>
        <v/>
      </c>
    </row>
    <row r="22">
      <c r="B22" s="42"/>
      <c r="C22" s="41"/>
      <c r="D22" s="42"/>
      <c r="E22" s="42"/>
      <c r="F22" s="47"/>
      <c r="G22" s="48"/>
      <c r="H22" s="24" t="str">
        <f t="shared" si="2"/>
        <v/>
      </c>
    </row>
    <row r="23">
      <c r="B23" s="42"/>
      <c r="C23" s="41"/>
      <c r="D23" s="42"/>
      <c r="E23" s="42"/>
      <c r="F23" s="47"/>
      <c r="G23" s="48"/>
      <c r="H23" s="24" t="str">
        <f t="shared" si="2"/>
        <v/>
      </c>
    </row>
    <row r="24">
      <c r="B24" s="42"/>
      <c r="C24" s="41"/>
      <c r="D24" s="42"/>
      <c r="E24" s="42"/>
      <c r="F24" s="47"/>
      <c r="G24" s="48"/>
      <c r="H24" s="24" t="str">
        <f t="shared" si="2"/>
        <v/>
      </c>
    </row>
    <row r="25">
      <c r="B25" s="42"/>
      <c r="C25" s="41"/>
      <c r="D25" s="42"/>
      <c r="E25" s="42"/>
      <c r="F25" s="47"/>
      <c r="G25" s="48"/>
      <c r="H25" s="24" t="str">
        <f t="shared" si="2"/>
        <v/>
      </c>
    </row>
    <row r="26">
      <c r="B26" s="42"/>
      <c r="C26" s="41"/>
      <c r="D26" s="42"/>
      <c r="E26" s="42"/>
      <c r="F26" s="47"/>
      <c r="G26" s="48"/>
      <c r="H26" s="24" t="str">
        <f t="shared" si="2"/>
        <v/>
      </c>
    </row>
    <row r="27">
      <c r="B27" s="42"/>
      <c r="C27" s="41"/>
      <c r="D27" s="42"/>
      <c r="E27" s="42"/>
      <c r="F27" s="47"/>
      <c r="G27" s="48"/>
      <c r="H27" s="24" t="str">
        <f t="shared" si="2"/>
        <v/>
      </c>
    </row>
    <row r="28">
      <c r="B28" s="42"/>
      <c r="C28" s="41"/>
      <c r="D28" s="42"/>
      <c r="E28" s="42"/>
      <c r="F28" s="47"/>
      <c r="G28" s="48"/>
      <c r="H28" s="24" t="str">
        <f t="shared" si="2"/>
        <v/>
      </c>
    </row>
    <row r="29">
      <c r="B29" s="42"/>
      <c r="C29" s="41"/>
      <c r="D29" s="42"/>
      <c r="E29" s="42"/>
      <c r="F29" s="47"/>
      <c r="G29" s="48"/>
      <c r="H29" s="24" t="str">
        <f t="shared" si="2"/>
        <v/>
      </c>
    </row>
    <row r="30">
      <c r="B30" s="42"/>
      <c r="C30" s="41"/>
      <c r="D30" s="42"/>
      <c r="E30" s="42"/>
      <c r="F30" s="47"/>
      <c r="G30" s="48"/>
      <c r="H30" s="24" t="str">
        <f t="shared" si="2"/>
        <v/>
      </c>
    </row>
    <row r="31">
      <c r="B31" s="42"/>
      <c r="C31" s="41"/>
      <c r="D31" s="42"/>
      <c r="E31" s="42"/>
      <c r="F31" s="47"/>
      <c r="G31" s="48"/>
      <c r="H31" s="24" t="str">
        <f t="shared" si="2"/>
        <v/>
      </c>
    </row>
    <row r="32">
      <c r="B32" s="42"/>
      <c r="C32" s="41"/>
      <c r="D32" s="42"/>
      <c r="E32" s="42"/>
      <c r="F32" s="47"/>
      <c r="G32" s="48"/>
      <c r="H32" s="24" t="str">
        <f t="shared" si="2"/>
        <v/>
      </c>
    </row>
    <row r="33">
      <c r="B33" s="42"/>
      <c r="C33" s="41"/>
      <c r="D33" s="42"/>
      <c r="E33" s="42"/>
      <c r="F33" s="47"/>
      <c r="G33" s="48"/>
      <c r="H33" s="24" t="str">
        <f t="shared" si="2"/>
        <v/>
      </c>
    </row>
    <row r="34">
      <c r="B34" s="42"/>
      <c r="C34" s="41"/>
      <c r="D34" s="42"/>
      <c r="E34" s="42"/>
      <c r="F34" s="47"/>
      <c r="G34" s="48"/>
      <c r="H34" s="24" t="str">
        <f t="shared" si="2"/>
        <v/>
      </c>
    </row>
    <row r="35">
      <c r="B35" s="42"/>
      <c r="C35" s="41"/>
      <c r="D35" s="42"/>
      <c r="E35" s="42"/>
      <c r="F35" s="47"/>
      <c r="G35" s="48"/>
      <c r="H35" s="24" t="str">
        <f t="shared" si="2"/>
        <v/>
      </c>
    </row>
    <row r="36">
      <c r="B36" s="42"/>
      <c r="C36" s="41"/>
      <c r="D36" s="42"/>
      <c r="E36" s="42"/>
      <c r="F36" s="47"/>
      <c r="G36" s="48"/>
      <c r="H36" s="24" t="str">
        <f t="shared" si="2"/>
        <v/>
      </c>
    </row>
    <row r="37">
      <c r="B37" s="42"/>
      <c r="C37" s="41"/>
      <c r="D37" s="42"/>
      <c r="E37" s="42"/>
      <c r="F37" s="47"/>
      <c r="G37" s="48"/>
      <c r="H37" s="24" t="str">
        <f t="shared" si="2"/>
        <v/>
      </c>
    </row>
    <row r="38">
      <c r="B38" s="42"/>
      <c r="C38" s="41"/>
      <c r="D38" s="42"/>
      <c r="E38" s="42"/>
      <c r="F38" s="47"/>
      <c r="G38" s="48"/>
      <c r="H38" s="24" t="str">
        <f t="shared" si="2"/>
        <v/>
      </c>
    </row>
    <row r="39">
      <c r="B39" s="42"/>
      <c r="C39" s="41"/>
      <c r="D39" s="42"/>
      <c r="E39" s="42"/>
      <c r="F39" s="47"/>
      <c r="G39" s="48"/>
      <c r="H39" s="24" t="str">
        <f t="shared" si="2"/>
        <v/>
      </c>
    </row>
    <row r="40">
      <c r="B40" s="42"/>
      <c r="C40" s="41"/>
      <c r="D40" s="42"/>
      <c r="E40" s="42"/>
      <c r="F40" s="47"/>
      <c r="G40" s="48"/>
      <c r="H40" s="24" t="str">
        <f t="shared" si="2"/>
        <v/>
      </c>
    </row>
    <row r="41">
      <c r="B41" s="42"/>
      <c r="C41" s="41"/>
      <c r="D41" s="42"/>
      <c r="E41" s="42"/>
      <c r="F41" s="47"/>
      <c r="G41" s="48"/>
      <c r="H41" s="24" t="str">
        <f t="shared" si="2"/>
        <v/>
      </c>
    </row>
    <row r="42">
      <c r="B42" s="42"/>
      <c r="C42" s="41"/>
      <c r="D42" s="42"/>
      <c r="E42" s="42"/>
      <c r="F42" s="47"/>
      <c r="G42" s="48"/>
      <c r="H42" s="24" t="str">
        <f t="shared" si="2"/>
        <v/>
      </c>
    </row>
    <row r="43">
      <c r="B43" s="42"/>
      <c r="C43" s="41"/>
      <c r="D43" s="42"/>
      <c r="E43" s="42"/>
      <c r="F43" s="47"/>
      <c r="G43" s="48"/>
      <c r="H43" s="24" t="str">
        <f t="shared" si="2"/>
        <v/>
      </c>
    </row>
    <row r="44">
      <c r="B44" s="42"/>
      <c r="C44" s="41"/>
      <c r="D44" s="42"/>
      <c r="E44" s="42"/>
      <c r="F44" s="47"/>
      <c r="G44" s="48"/>
      <c r="H44" s="24" t="str">
        <f t="shared" si="2"/>
        <v/>
      </c>
    </row>
    <row r="45">
      <c r="B45" s="42"/>
      <c r="C45" s="41"/>
      <c r="D45" s="42"/>
      <c r="E45" s="42"/>
      <c r="F45" s="47"/>
      <c r="G45" s="48"/>
      <c r="H45" s="24" t="str">
        <f t="shared" si="2"/>
        <v/>
      </c>
    </row>
    <row r="46">
      <c r="B46" s="42"/>
      <c r="C46" s="41"/>
      <c r="D46" s="42"/>
      <c r="E46" s="42"/>
      <c r="F46" s="47"/>
      <c r="G46" s="48"/>
      <c r="H46" s="24" t="str">
        <f t="shared" si="2"/>
        <v/>
      </c>
    </row>
    <row r="47">
      <c r="B47" s="42"/>
      <c r="C47" s="41"/>
      <c r="D47" s="42"/>
      <c r="E47" s="42"/>
      <c r="F47" s="47"/>
      <c r="G47" s="48"/>
      <c r="H47" s="24" t="str">
        <f t="shared" si="2"/>
        <v/>
      </c>
    </row>
    <row r="48">
      <c r="B48" s="42"/>
      <c r="C48" s="41"/>
      <c r="D48" s="42"/>
      <c r="E48" s="42"/>
      <c r="F48" s="47"/>
      <c r="G48" s="48"/>
      <c r="H48" s="24" t="str">
        <f t="shared" si="2"/>
        <v/>
      </c>
    </row>
    <row r="49">
      <c r="B49" s="42"/>
      <c r="C49" s="41"/>
      <c r="D49" s="42"/>
      <c r="E49" s="42"/>
      <c r="F49" s="47"/>
      <c r="G49" s="48"/>
      <c r="H49" s="24" t="str">
        <f t="shared" si="2"/>
        <v/>
      </c>
    </row>
    <row r="50">
      <c r="B50" s="42"/>
      <c r="C50" s="41"/>
      <c r="D50" s="42"/>
      <c r="E50" s="42"/>
      <c r="F50" s="47"/>
      <c r="G50" s="48"/>
      <c r="H50" s="24" t="str">
        <f t="shared" si="2"/>
        <v/>
      </c>
    </row>
    <row r="51">
      <c r="B51" s="42"/>
      <c r="C51" s="41"/>
      <c r="D51" s="42"/>
      <c r="E51" s="42"/>
      <c r="F51" s="47"/>
      <c r="G51" s="48"/>
      <c r="H51" s="24" t="str">
        <f t="shared" si="2"/>
        <v/>
      </c>
    </row>
    <row r="52">
      <c r="B52" s="42"/>
      <c r="C52" s="41"/>
      <c r="D52" s="42"/>
      <c r="E52" s="42"/>
      <c r="F52" s="47"/>
      <c r="G52" s="48"/>
      <c r="H52" s="24" t="str">
        <f t="shared" si="2"/>
        <v/>
      </c>
    </row>
    <row r="53">
      <c r="B53" s="42"/>
      <c r="C53" s="41"/>
      <c r="D53" s="42"/>
      <c r="E53" s="42"/>
      <c r="F53" s="47"/>
      <c r="G53" s="48"/>
      <c r="H53" s="24" t="str">
        <f t="shared" si="2"/>
        <v/>
      </c>
    </row>
    <row r="54">
      <c r="B54" s="42"/>
      <c r="C54" s="41"/>
      <c r="D54" s="42"/>
      <c r="E54" s="42"/>
      <c r="F54" s="47"/>
      <c r="G54" s="48"/>
      <c r="H54" s="24" t="str">
        <f t="shared" si="2"/>
        <v/>
      </c>
    </row>
    <row r="55">
      <c r="B55" s="42"/>
      <c r="C55" s="41"/>
      <c r="D55" s="42"/>
      <c r="E55" s="42"/>
      <c r="F55" s="47"/>
      <c r="G55" s="48"/>
      <c r="H55" s="24" t="str">
        <f t="shared" si="2"/>
        <v/>
      </c>
    </row>
    <row r="56">
      <c r="B56" s="42"/>
      <c r="C56" s="41"/>
      <c r="D56" s="42"/>
      <c r="E56" s="42"/>
      <c r="F56" s="47"/>
      <c r="G56" s="48"/>
      <c r="H56" s="24" t="str">
        <f t="shared" si="2"/>
        <v/>
      </c>
    </row>
    <row r="57">
      <c r="B57" s="42"/>
      <c r="C57" s="41"/>
      <c r="D57" s="42"/>
      <c r="E57" s="42"/>
      <c r="F57" s="47"/>
      <c r="G57" s="48"/>
      <c r="H57" s="24" t="str">
        <f t="shared" si="2"/>
        <v/>
      </c>
    </row>
    <row r="58">
      <c r="B58" s="42"/>
      <c r="C58" s="41"/>
      <c r="D58" s="42"/>
      <c r="E58" s="42"/>
      <c r="F58" s="47"/>
      <c r="G58" s="48"/>
      <c r="H58" s="24" t="str">
        <f t="shared" si="2"/>
        <v/>
      </c>
    </row>
    <row r="59">
      <c r="B59" s="42"/>
      <c r="C59" s="41"/>
      <c r="D59" s="42"/>
      <c r="E59" s="42"/>
      <c r="F59" s="47"/>
      <c r="G59" s="48"/>
      <c r="H59" s="24" t="str">
        <f t="shared" si="2"/>
        <v/>
      </c>
    </row>
    <row r="60">
      <c r="B60" s="42"/>
      <c r="C60" s="41"/>
      <c r="D60" s="42"/>
      <c r="E60" s="42"/>
      <c r="F60" s="47"/>
      <c r="G60" s="48"/>
      <c r="H60" s="24" t="str">
        <f t="shared" si="2"/>
        <v/>
      </c>
    </row>
    <row r="61">
      <c r="B61" s="42"/>
      <c r="C61" s="41"/>
      <c r="D61" s="42"/>
      <c r="E61" s="42"/>
      <c r="F61" s="47"/>
      <c r="G61" s="48"/>
      <c r="H61" s="24" t="str">
        <f t="shared" si="2"/>
        <v/>
      </c>
    </row>
    <row r="62">
      <c r="B62" s="42"/>
      <c r="C62" s="41"/>
      <c r="D62" s="42"/>
      <c r="E62" s="42"/>
      <c r="F62" s="47"/>
      <c r="G62" s="48"/>
      <c r="H62" s="24" t="str">
        <f t="shared" si="2"/>
        <v/>
      </c>
    </row>
    <row r="63">
      <c r="B63" s="42"/>
      <c r="C63" s="41"/>
      <c r="D63" s="42"/>
      <c r="E63" s="42"/>
      <c r="F63" s="47"/>
      <c r="G63" s="48"/>
      <c r="H63" s="24" t="str">
        <f t="shared" si="2"/>
        <v/>
      </c>
    </row>
    <row r="64">
      <c r="B64" s="42"/>
      <c r="C64" s="41"/>
      <c r="D64" s="42"/>
      <c r="E64" s="42"/>
      <c r="F64" s="47"/>
      <c r="G64" s="48"/>
      <c r="H64" s="24" t="str">
        <f t="shared" si="2"/>
        <v/>
      </c>
    </row>
    <row r="65">
      <c r="B65" s="42"/>
      <c r="C65" s="41"/>
      <c r="D65" s="42"/>
      <c r="E65" s="42"/>
      <c r="F65" s="47"/>
      <c r="G65" s="48"/>
      <c r="H65" s="24" t="str">
        <f t="shared" si="2"/>
        <v/>
      </c>
    </row>
    <row r="66">
      <c r="B66" s="42"/>
      <c r="C66" s="41"/>
      <c r="D66" s="42"/>
      <c r="E66" s="42"/>
      <c r="F66" s="47"/>
      <c r="G66" s="48"/>
      <c r="H66" s="24" t="str">
        <f t="shared" si="2"/>
        <v/>
      </c>
    </row>
    <row r="67">
      <c r="B67" s="42"/>
      <c r="C67" s="41"/>
      <c r="D67" s="42"/>
      <c r="E67" s="42"/>
      <c r="F67" s="47"/>
      <c r="G67" s="48"/>
      <c r="H67" s="24" t="str">
        <f t="shared" si="2"/>
        <v/>
      </c>
    </row>
    <row r="68">
      <c r="B68" s="42"/>
      <c r="C68" s="41"/>
      <c r="D68" s="42"/>
      <c r="E68" s="42"/>
      <c r="F68" s="47"/>
      <c r="G68" s="48"/>
      <c r="H68" s="24" t="str">
        <f t="shared" si="2"/>
        <v/>
      </c>
    </row>
    <row r="69">
      <c r="B69" s="42"/>
      <c r="C69" s="41"/>
      <c r="D69" s="42"/>
      <c r="E69" s="42"/>
      <c r="F69" s="47"/>
      <c r="G69" s="48"/>
      <c r="H69" s="24" t="str">
        <f t="shared" si="2"/>
        <v/>
      </c>
    </row>
    <row r="70">
      <c r="B70" s="42"/>
      <c r="C70" s="41"/>
      <c r="D70" s="42"/>
      <c r="E70" s="42"/>
      <c r="F70" s="47"/>
      <c r="G70" s="48"/>
      <c r="H70" s="24" t="str">
        <f t="shared" si="2"/>
        <v/>
      </c>
    </row>
    <row r="71">
      <c r="B71" s="42"/>
      <c r="C71" s="41"/>
      <c r="D71" s="42"/>
      <c r="E71" s="42"/>
      <c r="F71" s="47"/>
      <c r="G71" s="48"/>
      <c r="H71" s="24" t="str">
        <f t="shared" si="2"/>
        <v/>
      </c>
    </row>
    <row r="72">
      <c r="B72" s="42"/>
      <c r="C72" s="41"/>
      <c r="D72" s="42"/>
      <c r="E72" s="42"/>
      <c r="F72" s="47"/>
      <c r="G72" s="48"/>
      <c r="H72" s="24" t="str">
        <f t="shared" si="2"/>
        <v/>
      </c>
    </row>
    <row r="73">
      <c r="B73" s="42"/>
      <c r="C73" s="41"/>
      <c r="D73" s="42"/>
      <c r="E73" s="42"/>
      <c r="F73" s="47"/>
      <c r="G73" s="48"/>
      <c r="H73" s="24" t="str">
        <f t="shared" si="2"/>
        <v/>
      </c>
    </row>
    <row r="74">
      <c r="B74" s="42"/>
      <c r="C74" s="41"/>
      <c r="D74" s="42"/>
      <c r="E74" s="42"/>
      <c r="F74" s="47"/>
      <c r="G74" s="48"/>
      <c r="H74" s="24" t="str">
        <f t="shared" si="2"/>
        <v/>
      </c>
    </row>
    <row r="75">
      <c r="B75" s="42"/>
      <c r="C75" s="41"/>
      <c r="D75" s="42"/>
      <c r="E75" s="42"/>
      <c r="F75" s="47"/>
      <c r="G75" s="48"/>
      <c r="H75" s="24" t="str">
        <f t="shared" si="2"/>
        <v/>
      </c>
    </row>
    <row r="76">
      <c r="B76" s="42"/>
      <c r="C76" s="41"/>
      <c r="D76" s="42"/>
      <c r="E76" s="42"/>
      <c r="F76" s="47"/>
      <c r="G76" s="48"/>
      <c r="H76" s="24" t="str">
        <f t="shared" si="2"/>
        <v/>
      </c>
    </row>
    <row r="77">
      <c r="B77" s="42"/>
      <c r="C77" s="41"/>
      <c r="D77" s="42"/>
      <c r="E77" s="42"/>
      <c r="F77" s="47"/>
      <c r="G77" s="48"/>
      <c r="H77" s="24" t="str">
        <f t="shared" si="2"/>
        <v/>
      </c>
    </row>
    <row r="78">
      <c r="B78" s="42"/>
      <c r="C78" s="41"/>
      <c r="D78" s="42"/>
      <c r="E78" s="42"/>
      <c r="F78" s="47"/>
      <c r="G78" s="48"/>
      <c r="H78" s="24" t="str">
        <f t="shared" si="2"/>
        <v/>
      </c>
    </row>
    <row r="79">
      <c r="B79" s="42"/>
      <c r="C79" s="41"/>
      <c r="D79" s="42"/>
      <c r="E79" s="42"/>
      <c r="F79" s="47"/>
      <c r="G79" s="48"/>
      <c r="H79" s="24" t="str">
        <f t="shared" si="2"/>
        <v/>
      </c>
    </row>
    <row r="80">
      <c r="B80" s="42"/>
      <c r="C80" s="41"/>
      <c r="D80" s="42"/>
      <c r="E80" s="42"/>
      <c r="F80" s="47"/>
      <c r="G80" s="48"/>
      <c r="H80" s="24" t="str">
        <f t="shared" si="2"/>
        <v/>
      </c>
    </row>
    <row r="81">
      <c r="B81" s="42"/>
      <c r="C81" s="41"/>
      <c r="D81" s="42"/>
      <c r="E81" s="42"/>
      <c r="F81" s="47"/>
      <c r="G81" s="48"/>
      <c r="H81" s="24" t="str">
        <f t="shared" si="2"/>
        <v/>
      </c>
    </row>
    <row r="82">
      <c r="B82" s="42"/>
      <c r="C82" s="41"/>
      <c r="D82" s="42"/>
      <c r="E82" s="42"/>
      <c r="F82" s="47"/>
      <c r="G82" s="48"/>
      <c r="H82" s="24" t="str">
        <f t="shared" si="2"/>
        <v/>
      </c>
    </row>
    <row r="83">
      <c r="B83" s="42"/>
      <c r="C83" s="41"/>
      <c r="D83" s="42"/>
      <c r="E83" s="42"/>
      <c r="F83" s="47"/>
      <c r="G83" s="48"/>
      <c r="H83" s="24" t="str">
        <f t="shared" si="2"/>
        <v/>
      </c>
    </row>
    <row r="84">
      <c r="B84" s="42"/>
      <c r="C84" s="41"/>
      <c r="D84" s="42"/>
      <c r="E84" s="42"/>
      <c r="F84" s="47"/>
      <c r="G84" s="48"/>
      <c r="H84" s="24" t="str">
        <f t="shared" si="2"/>
        <v/>
      </c>
    </row>
    <row r="85">
      <c r="B85" s="42"/>
      <c r="C85" s="41"/>
      <c r="D85" s="42"/>
      <c r="E85" s="42"/>
      <c r="F85" s="47"/>
      <c r="G85" s="48"/>
      <c r="H85" s="24" t="str">
        <f t="shared" si="2"/>
        <v/>
      </c>
    </row>
    <row r="86">
      <c r="B86" s="42"/>
      <c r="C86" s="41"/>
      <c r="D86" s="42"/>
      <c r="E86" s="42"/>
      <c r="F86" s="47"/>
      <c r="G86" s="48"/>
      <c r="H86" s="24" t="str">
        <f t="shared" si="2"/>
        <v/>
      </c>
    </row>
    <row r="87">
      <c r="B87" s="42"/>
      <c r="C87" s="41"/>
      <c r="D87" s="42"/>
      <c r="E87" s="42"/>
      <c r="F87" s="47"/>
      <c r="G87" s="48"/>
      <c r="H87" s="24" t="str">
        <f t="shared" si="2"/>
        <v/>
      </c>
    </row>
    <row r="88">
      <c r="B88" s="42"/>
      <c r="C88" s="41"/>
      <c r="D88" s="42"/>
      <c r="E88" s="42"/>
      <c r="F88" s="47"/>
      <c r="G88" s="48"/>
      <c r="H88" s="24" t="str">
        <f t="shared" si="2"/>
        <v/>
      </c>
    </row>
    <row r="89">
      <c r="B89" s="42"/>
      <c r="C89" s="41"/>
      <c r="D89" s="42"/>
      <c r="E89" s="42"/>
      <c r="F89" s="47"/>
      <c r="G89" s="48"/>
      <c r="H89" s="24" t="str">
        <f t="shared" si="2"/>
        <v/>
      </c>
    </row>
    <row r="90">
      <c r="B90" s="42"/>
      <c r="C90" s="41"/>
      <c r="D90" s="42"/>
      <c r="E90" s="42"/>
      <c r="F90" s="47"/>
      <c r="G90" s="48"/>
      <c r="H90" s="24" t="str">
        <f t="shared" si="2"/>
        <v/>
      </c>
    </row>
    <row r="91">
      <c r="B91" s="42"/>
      <c r="C91" s="41"/>
      <c r="D91" s="42"/>
      <c r="E91" s="42"/>
      <c r="F91" s="47"/>
      <c r="G91" s="48"/>
      <c r="H91" s="24" t="str">
        <f t="shared" si="2"/>
        <v/>
      </c>
    </row>
    <row r="92">
      <c r="B92" s="42"/>
      <c r="C92" s="41"/>
      <c r="D92" s="42"/>
      <c r="E92" s="42"/>
      <c r="F92" s="47"/>
      <c r="G92" s="48"/>
      <c r="H92" s="24" t="str">
        <f t="shared" si="2"/>
        <v/>
      </c>
    </row>
    <row r="93">
      <c r="B93" s="42"/>
      <c r="C93" s="41"/>
      <c r="D93" s="42"/>
      <c r="E93" s="42"/>
      <c r="F93" s="47"/>
      <c r="G93" s="48"/>
      <c r="H93" s="24" t="str">
        <f t="shared" si="2"/>
        <v/>
      </c>
    </row>
    <row r="94">
      <c r="B94" s="42"/>
      <c r="C94" s="41"/>
      <c r="D94" s="42"/>
      <c r="E94" s="42"/>
      <c r="F94" s="47"/>
      <c r="G94" s="48"/>
      <c r="H94" s="24" t="str">
        <f t="shared" si="2"/>
        <v/>
      </c>
    </row>
    <row r="95">
      <c r="B95" s="42"/>
      <c r="C95" s="41"/>
      <c r="D95" s="42"/>
      <c r="E95" s="42"/>
      <c r="F95" s="47"/>
      <c r="G95" s="48"/>
      <c r="H95" s="24" t="str">
        <f t="shared" si="2"/>
        <v/>
      </c>
    </row>
    <row r="96">
      <c r="B96" s="42"/>
      <c r="C96" s="41"/>
      <c r="D96" s="42"/>
      <c r="E96" s="42"/>
      <c r="F96" s="47"/>
      <c r="G96" s="48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3"/>
    </row>
    <row r="2" ht="15.75" customHeight="1">
      <c r="B2" s="101" t="s">
        <v>140</v>
      </c>
      <c r="C2" s="19"/>
      <c r="D2" s="2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9"/>
      <c r="D20" s="23"/>
    </row>
    <row r="21" ht="18.0" customHeight="1">
      <c r="B21" s="116" t="s">
        <v>6</v>
      </c>
      <c r="C21" s="116" t="s">
        <v>188</v>
      </c>
      <c r="D21" s="116" t="s">
        <v>189</v>
      </c>
    </row>
    <row r="22" ht="16.5" customHeight="1">
      <c r="B22" s="117" t="s">
        <v>107</v>
      </c>
      <c r="C22" s="118" t="s">
        <v>190</v>
      </c>
      <c r="D22" s="119" t="s">
        <v>191</v>
      </c>
    </row>
    <row r="23" ht="16.5" customHeight="1">
      <c r="B23" s="117" t="s">
        <v>78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102</v>
      </c>
      <c r="C26" s="123" t="s">
        <v>200</v>
      </c>
      <c r="D26" s="119" t="s">
        <v>201</v>
      </c>
    </row>
    <row r="27" ht="16.5" customHeight="1">
      <c r="B27" s="125" t="s">
        <v>202</v>
      </c>
      <c r="C27" s="126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50</v>
      </c>
      <c r="C30" s="123" t="s">
        <v>209</v>
      </c>
      <c r="D30" s="119" t="s">
        <v>210</v>
      </c>
    </row>
    <row r="31" ht="16.5" customHeight="1">
      <c r="B31" s="122" t="s">
        <v>114</v>
      </c>
      <c r="C31" s="123" t="s">
        <v>211</v>
      </c>
      <c r="D31" s="119" t="s">
        <v>212</v>
      </c>
    </row>
    <row r="32" ht="16.5" customHeight="1">
      <c r="B32" s="128" t="s">
        <v>213</v>
      </c>
      <c r="C32" s="129" t="s">
        <v>214</v>
      </c>
      <c r="D32" s="119" t="s">
        <v>215</v>
      </c>
    </row>
    <row r="33" ht="16.5" customHeight="1">
      <c r="B33" s="117" t="s">
        <v>64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9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4">
        <v>2500.0</v>
      </c>
      <c r="D4" s="130"/>
      <c r="E4" s="130"/>
    </row>
    <row r="5">
      <c r="A5" s="131">
        <v>46169.0</v>
      </c>
      <c r="B5" s="130" t="s">
        <v>224</v>
      </c>
      <c r="C5" s="132">
        <v>29050.0</v>
      </c>
      <c r="D5" s="130"/>
      <c r="E5" s="130"/>
    </row>
    <row r="6">
      <c r="A6" s="131">
        <v>46169.0</v>
      </c>
      <c r="B6" s="130" t="s">
        <v>226</v>
      </c>
      <c r="C6" s="134">
        <v>100.0</v>
      </c>
      <c r="D6" s="130"/>
      <c r="E6" s="130"/>
    </row>
    <row r="7">
      <c r="A7" s="131">
        <v>46169.0</v>
      </c>
      <c r="B7" s="130" t="s">
        <v>227</v>
      </c>
      <c r="C7" s="134">
        <v>300.0</v>
      </c>
      <c r="D7" s="130"/>
      <c r="E7" s="130"/>
    </row>
    <row r="8">
      <c r="A8" s="131">
        <v>46169.0</v>
      </c>
      <c r="B8" s="130" t="s">
        <v>229</v>
      </c>
      <c r="C8" s="134">
        <v>370.0</v>
      </c>
      <c r="D8" s="130"/>
      <c r="E8" s="130"/>
    </row>
    <row r="9">
      <c r="A9" s="131">
        <v>46169.0</v>
      </c>
      <c r="B9" s="130" t="s">
        <v>98</v>
      </c>
      <c r="C9" s="134">
        <v>2494.0</v>
      </c>
      <c r="D9" s="130"/>
      <c r="E9" s="130"/>
    </row>
    <row r="10">
      <c r="A10" s="131">
        <v>46169.0</v>
      </c>
      <c r="B10" s="130" t="s">
        <v>233</v>
      </c>
      <c r="C10" s="134">
        <v>5000.0</v>
      </c>
      <c r="D10" s="130"/>
      <c r="E10" s="130"/>
    </row>
    <row r="11">
      <c r="A11" s="131">
        <v>46169.0</v>
      </c>
      <c r="B11" s="130" t="s">
        <v>236</v>
      </c>
      <c r="C11" s="132">
        <v>29000.0</v>
      </c>
      <c r="D11" s="130" t="s">
        <v>238</v>
      </c>
      <c r="E11" s="134">
        <v>24000.0</v>
      </c>
    </row>
    <row r="12">
      <c r="A12" s="131">
        <v>46169.0</v>
      </c>
      <c r="B12" s="130" t="s">
        <v>241</v>
      </c>
      <c r="C12" s="134">
        <v>400.0</v>
      </c>
      <c r="D12" s="130" t="s">
        <v>242</v>
      </c>
      <c r="E12" s="132">
        <v>53000.0</v>
      </c>
    </row>
    <row r="13">
      <c r="A13" s="131">
        <v>46169.0</v>
      </c>
      <c r="B13" s="130" t="s">
        <v>244</v>
      </c>
      <c r="C13" s="134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245</v>
      </c>
      <c r="B22" s="130" t="s">
        <v>218</v>
      </c>
      <c r="C22" s="130" t="s">
        <v>246</v>
      </c>
      <c r="D22" s="130" t="s">
        <v>9</v>
      </c>
      <c r="E22" s="130" t="s">
        <v>247</v>
      </c>
    </row>
    <row r="23">
      <c r="A23" s="130" t="s">
        <v>248</v>
      </c>
      <c r="B23" s="130" t="s">
        <v>249</v>
      </c>
      <c r="C23" s="130" t="s">
        <v>250</v>
      </c>
      <c r="D23" s="134">
        <v>3150.0</v>
      </c>
      <c r="E23" s="140">
        <v>46464.0</v>
      </c>
    </row>
    <row r="24">
      <c r="A24" s="130" t="s">
        <v>248</v>
      </c>
      <c r="B24" s="130" t="s">
        <v>249</v>
      </c>
      <c r="C24" s="130" t="s">
        <v>251</v>
      </c>
      <c r="D24" s="134">
        <v>2650.0</v>
      </c>
      <c r="E24" s="140">
        <v>46219.0</v>
      </c>
    </row>
    <row r="25">
      <c r="A25" s="130" t="s">
        <v>248</v>
      </c>
      <c r="B25" s="130" t="s">
        <v>249</v>
      </c>
      <c r="C25" s="130" t="s">
        <v>252</v>
      </c>
      <c r="D25" s="134">
        <v>2600.0</v>
      </c>
      <c r="E25" s="140">
        <v>46828.0</v>
      </c>
    </row>
    <row r="26">
      <c r="A26" s="130" t="s">
        <v>248</v>
      </c>
      <c r="B26" s="130" t="s">
        <v>249</v>
      </c>
      <c r="C26" s="130" t="s">
        <v>253</v>
      </c>
      <c r="D26" s="134">
        <v>2680.0</v>
      </c>
      <c r="E26" s="141">
        <v>46863.0</v>
      </c>
    </row>
    <row r="27">
      <c r="A27" s="130" t="s">
        <v>100</v>
      </c>
      <c r="B27" s="130" t="s">
        <v>254</v>
      </c>
      <c r="C27" s="130" t="s">
        <v>255</v>
      </c>
      <c r="D27" s="134">
        <v>5390.0</v>
      </c>
      <c r="E27" s="140">
        <v>46764.0</v>
      </c>
    </row>
    <row r="28">
      <c r="A28" s="130" t="s">
        <v>100</v>
      </c>
      <c r="B28" s="130" t="s">
        <v>254</v>
      </c>
      <c r="C28" s="130" t="s">
        <v>256</v>
      </c>
      <c r="D28" s="134">
        <v>3235.0</v>
      </c>
      <c r="E28" s="140">
        <v>46673.0</v>
      </c>
    </row>
    <row r="29">
      <c r="A29" s="130" t="s">
        <v>100</v>
      </c>
      <c r="B29" s="130" t="s">
        <v>254</v>
      </c>
      <c r="C29" s="130" t="s">
        <v>257</v>
      </c>
      <c r="D29" s="134">
        <v>1230.0</v>
      </c>
      <c r="E29" s="130" t="s">
        <v>258</v>
      </c>
    </row>
    <row r="30">
      <c r="A30" s="130" t="s">
        <v>259</v>
      </c>
      <c r="B30" s="130"/>
      <c r="C30" s="130" t="s">
        <v>250</v>
      </c>
      <c r="D30" s="142">
        <v>2970.0</v>
      </c>
      <c r="E30" s="130"/>
    </row>
    <row r="31">
      <c r="A31" s="130" t="s">
        <v>259</v>
      </c>
      <c r="B31" s="130"/>
      <c r="C31" s="130" t="s">
        <v>255</v>
      </c>
      <c r="D31" s="142">
        <v>2970.0</v>
      </c>
      <c r="E31" s="130"/>
    </row>
    <row r="32">
      <c r="A32" s="130" t="s">
        <v>261</v>
      </c>
      <c r="B32" s="130" t="s">
        <v>262</v>
      </c>
      <c r="C32" s="130"/>
      <c r="D32" s="134">
        <v>5000.0</v>
      </c>
      <c r="E32" s="130" t="s">
        <v>263</v>
      </c>
    </row>
    <row r="42">
      <c r="A42" s="143" t="s">
        <v>264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5" t="s">
        <v>27</v>
      </c>
      <c r="B45" s="145" t="s">
        <v>265</v>
      </c>
      <c r="C45" s="145" t="s">
        <v>266</v>
      </c>
      <c r="D45" s="145" t="s">
        <v>87</v>
      </c>
      <c r="E45" s="145" t="s">
        <v>267</v>
      </c>
      <c r="F45" s="145" t="s">
        <v>268</v>
      </c>
      <c r="G45" s="145" t="s">
        <v>269</v>
      </c>
      <c r="H45" s="145" t="s">
        <v>270</v>
      </c>
      <c r="I45" s="145" t="s">
        <v>271</v>
      </c>
      <c r="J45" s="145" t="s">
        <v>272</v>
      </c>
    </row>
    <row r="46">
      <c r="A46" s="146" t="s">
        <v>273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274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6" t="s">
        <v>275</v>
      </c>
      <c r="B48" s="157"/>
      <c r="C48" s="158"/>
      <c r="D48" s="147">
        <f>IF(AND(B48&lt;&gt;"", C48&lt;&gt;"", E48&lt;&gt;""), PMT(C48/12, E48, -B48), 15250)</f>
        <v>15250</v>
      </c>
      <c r="E48" s="159"/>
      <c r="F48" s="150">
        <v>0.0</v>
      </c>
      <c r="G48" s="159" t="str">
        <f t="shared" si="1"/>
        <v/>
      </c>
      <c r="H48" s="147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2" t="s">
        <v>59</v>
      </c>
      <c r="B49" s="153">
        <v>97110.0</v>
      </c>
      <c r="C49" s="161"/>
      <c r="D49" s="153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3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6" t="s">
        <v>276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6" t="s">
        <v>278</v>
      </c>
      <c r="B52" s="157"/>
      <c r="C52" s="158"/>
      <c r="D52" s="147">
        <f>IF(AND(B52&lt;&gt;"", C52&lt;&gt;"", E52&lt;&gt;""), PMT(C52/12, E52, -B52), 3850)</f>
        <v>3850</v>
      </c>
      <c r="E52" s="159"/>
      <c r="F52" s="150">
        <v>0.0</v>
      </c>
      <c r="G52" s="159" t="str">
        <f t="shared" si="1"/>
        <v/>
      </c>
      <c r="H52" s="147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0" t="s">
        <v>218</v>
      </c>
      <c r="B61" s="170" t="s">
        <v>279</v>
      </c>
      <c r="C61" s="170" t="s">
        <v>9</v>
      </c>
      <c r="D61" s="170" t="s">
        <v>280</v>
      </c>
      <c r="E61" s="170" t="s">
        <v>281</v>
      </c>
      <c r="F61" s="170" t="s">
        <v>282</v>
      </c>
      <c r="G61" s="170" t="s">
        <v>9</v>
      </c>
      <c r="H61" s="130"/>
      <c r="I61" s="170" t="s">
        <v>283</v>
      </c>
      <c r="J61" s="130" t="s">
        <v>284</v>
      </c>
    </row>
    <row r="62">
      <c r="A62" s="131">
        <v>46143.0</v>
      </c>
      <c r="B62" s="130" t="s">
        <v>228</v>
      </c>
      <c r="C62" s="171">
        <v>11839.0</v>
      </c>
      <c r="D62" s="173" t="b">
        <v>1</v>
      </c>
      <c r="E62" s="130" t="s">
        <v>285</v>
      </c>
      <c r="F62" s="130" t="s">
        <v>286</v>
      </c>
      <c r="G62" s="171">
        <v>71000.0</v>
      </c>
      <c r="H62" s="130"/>
      <c r="I62" s="170" t="s">
        <v>287</v>
      </c>
      <c r="J62" s="171">
        <f>SUM(C62:C1000)</f>
        <v>84657</v>
      </c>
    </row>
    <row r="63">
      <c r="A63" s="131">
        <v>46144.0</v>
      </c>
      <c r="B63" s="130" t="s">
        <v>288</v>
      </c>
      <c r="C63" s="171">
        <v>3850.0</v>
      </c>
      <c r="D63" s="173" t="b">
        <v>1</v>
      </c>
      <c r="E63" s="130" t="s">
        <v>289</v>
      </c>
      <c r="F63" s="130"/>
      <c r="G63" s="174"/>
      <c r="H63" s="130"/>
      <c r="I63" s="170" t="s">
        <v>270</v>
      </c>
      <c r="J63" s="171">
        <f>SUMIFS(C62:C1000, D62:D1000, TRUE)</f>
        <v>50435</v>
      </c>
    </row>
    <row r="64">
      <c r="A64" s="131">
        <v>46145.0</v>
      </c>
      <c r="B64" s="130" t="s">
        <v>290</v>
      </c>
      <c r="C64" s="171">
        <v>4627.0</v>
      </c>
      <c r="D64" s="173" t="b">
        <v>1</v>
      </c>
      <c r="E64" s="130"/>
      <c r="F64" s="130"/>
      <c r="G64" s="174"/>
      <c r="H64" s="130"/>
      <c r="I64" s="170" t="s">
        <v>292</v>
      </c>
      <c r="J64" s="171">
        <f>SUMIFS(C62:C1000, D62:D1000, FALSE)</f>
        <v>34222</v>
      </c>
    </row>
    <row r="65">
      <c r="A65" s="131">
        <v>46147.0</v>
      </c>
      <c r="B65" s="130" t="s">
        <v>293</v>
      </c>
      <c r="C65" s="171">
        <v>5000.0</v>
      </c>
      <c r="D65" s="173" t="b">
        <v>1</v>
      </c>
      <c r="E65" s="130"/>
      <c r="F65" s="130"/>
      <c r="G65" s="174"/>
      <c r="H65" s="130"/>
      <c r="I65" s="170" t="s">
        <v>294</v>
      </c>
      <c r="J65" s="171">
        <f>SUM(G62:G1000)</f>
        <v>71000</v>
      </c>
    </row>
    <row r="66">
      <c r="A66" s="131">
        <v>46167.0</v>
      </c>
      <c r="B66" s="130" t="s">
        <v>295</v>
      </c>
      <c r="C66" s="171">
        <v>18972.0</v>
      </c>
      <c r="D66" s="173" t="b">
        <v>0</v>
      </c>
      <c r="E66" s="176">
        <v>97110.0</v>
      </c>
      <c r="F66" s="130"/>
      <c r="G66" s="174"/>
      <c r="H66" s="130"/>
      <c r="I66" s="170" t="s">
        <v>296</v>
      </c>
      <c r="J66" s="171">
        <f>J65-J62</f>
        <v>-13657</v>
      </c>
    </row>
    <row r="67">
      <c r="A67" s="131">
        <v>46146.0</v>
      </c>
      <c r="B67" s="130" t="s">
        <v>297</v>
      </c>
      <c r="C67" s="171">
        <v>13625.0</v>
      </c>
      <c r="D67" s="173" t="b">
        <v>1</v>
      </c>
      <c r="E67" s="130" t="s">
        <v>298</v>
      </c>
      <c r="F67" s="130"/>
      <c r="G67" s="174"/>
      <c r="H67" s="130"/>
      <c r="I67" s="130"/>
      <c r="J67" s="130"/>
    </row>
    <row r="68">
      <c r="A68" s="131">
        <v>46145.0</v>
      </c>
      <c r="B68" s="130" t="s">
        <v>299</v>
      </c>
      <c r="C68" s="171">
        <v>2494.0</v>
      </c>
      <c r="D68" s="173" t="b">
        <v>1</v>
      </c>
      <c r="E68" s="130"/>
      <c r="F68" s="130"/>
      <c r="G68" s="174"/>
      <c r="H68" s="130"/>
      <c r="I68" s="130"/>
      <c r="J68" s="130"/>
    </row>
    <row r="69">
      <c r="A69" s="131">
        <v>46144.0</v>
      </c>
      <c r="B69" s="130" t="s">
        <v>300</v>
      </c>
      <c r="C69" s="171">
        <v>4500.0</v>
      </c>
      <c r="D69" s="173" t="b">
        <v>1</v>
      </c>
      <c r="E69" s="130"/>
      <c r="F69" s="130"/>
      <c r="G69" s="174"/>
      <c r="H69" s="130"/>
      <c r="I69" s="130"/>
      <c r="J69" s="130"/>
    </row>
    <row r="70">
      <c r="A70" s="131">
        <v>46152.0</v>
      </c>
      <c r="B70" s="130" t="s">
        <v>301</v>
      </c>
      <c r="C70" s="171">
        <v>1500.0</v>
      </c>
      <c r="D70" s="173" t="b">
        <v>1</v>
      </c>
      <c r="E70" s="130"/>
      <c r="F70" s="130"/>
      <c r="G70" s="174"/>
      <c r="H70" s="130"/>
      <c r="I70" s="130"/>
      <c r="J70" s="130"/>
    </row>
    <row r="71">
      <c r="A71" s="131">
        <v>46152.0</v>
      </c>
      <c r="B71" s="130" t="s">
        <v>302</v>
      </c>
      <c r="C71" s="171">
        <v>3000.0</v>
      </c>
      <c r="D71" s="173" t="b">
        <v>1</v>
      </c>
      <c r="E71" s="130"/>
      <c r="F71" s="130"/>
      <c r="G71" s="174"/>
      <c r="H71" s="130"/>
      <c r="I71" s="130"/>
      <c r="J71" s="130"/>
    </row>
    <row r="72">
      <c r="A72" s="131">
        <v>46157.0</v>
      </c>
      <c r="B72" s="130" t="s">
        <v>303</v>
      </c>
      <c r="C72" s="171">
        <v>15250.0</v>
      </c>
      <c r="D72" s="173" t="b">
        <v>0</v>
      </c>
      <c r="E72" s="130"/>
      <c r="F72" s="130"/>
      <c r="G72" s="17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218</v>
      </c>
      <c r="B1" s="135" t="s">
        <v>223</v>
      </c>
      <c r="C1" s="135" t="s">
        <v>225</v>
      </c>
      <c r="D1" s="135" t="s">
        <v>10</v>
      </c>
    </row>
    <row r="2">
      <c r="A2" s="136">
        <v>46060.0</v>
      </c>
      <c r="B2" s="13" t="s">
        <v>228</v>
      </c>
      <c r="C2" s="137">
        <v>12000.0</v>
      </c>
      <c r="D2" s="13" t="s">
        <v>230</v>
      </c>
    </row>
    <row r="3">
      <c r="A3" s="136">
        <v>46060.0</v>
      </c>
      <c r="B3" s="13" t="s">
        <v>231</v>
      </c>
      <c r="C3" s="13">
        <v>4600.0</v>
      </c>
      <c r="D3" s="13" t="s">
        <v>232</v>
      </c>
    </row>
    <row r="4">
      <c r="A4" s="138" t="s">
        <v>234</v>
      </c>
      <c r="B4" s="13" t="s">
        <v>235</v>
      </c>
      <c r="C4" s="137">
        <v>15500.0</v>
      </c>
      <c r="D4" s="13" t="s">
        <v>237</v>
      </c>
    </row>
    <row r="5">
      <c r="A5" s="138" t="s">
        <v>239</v>
      </c>
      <c r="B5" s="13" t="s">
        <v>240</v>
      </c>
      <c r="C5" s="13">
        <v>2000.0</v>
      </c>
      <c r="D5" s="13" t="s">
        <v>243</v>
      </c>
    </row>
    <row r="6">
      <c r="A6" s="139"/>
    </row>
    <row r="7">
      <c r="A7" s="139"/>
    </row>
    <row r="8">
      <c r="A8" s="139"/>
    </row>
    <row r="9">
      <c r="A9" s="139"/>
    </row>
    <row r="10">
      <c r="A10" s="139"/>
    </row>
    <row r="11">
      <c r="A11" s="139"/>
    </row>
    <row r="12">
      <c r="A12" s="139"/>
    </row>
    <row r="13">
      <c r="A13" s="139"/>
    </row>
    <row r="14">
      <c r="A14" s="139"/>
    </row>
    <row r="15">
      <c r="A15" s="139"/>
    </row>
    <row r="16">
      <c r="A16" s="139"/>
    </row>
    <row r="17">
      <c r="A17" s="139"/>
    </row>
    <row r="18">
      <c r="A18" s="139"/>
    </row>
    <row r="19">
      <c r="A19" s="139"/>
    </row>
    <row r="20">
      <c r="A20" s="139"/>
    </row>
    <row r="21">
      <c r="A21" s="139"/>
    </row>
    <row r="22">
      <c r="A22" s="139"/>
    </row>
    <row r="23">
      <c r="A23" s="139"/>
    </row>
    <row r="24">
      <c r="A24" s="139"/>
    </row>
    <row r="25">
      <c r="A25" s="139"/>
    </row>
    <row r="26">
      <c r="A26" s="139"/>
    </row>
    <row r="27">
      <c r="A27" s="139"/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