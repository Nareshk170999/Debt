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<sst xmlns="http://schemas.openxmlformats.org/spreadsheetml/2006/main" count="460" uniqueCount="350">
  <si>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</si>
  <si>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</si>
  <si>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</si>
  <si>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</si>
  <si>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</si>
  <si>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</si>
  <si>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</si>
  <si>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</si>
  <si>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</si>
  <si>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</si>
  <si>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Gold Loan Tracker</t>
  </si>
  <si>
    <t>Notes</t>
  </si>
  <si>
    <t>Loan Name</t>
  </si>
  <si>
    <t>Gram</t>
  </si>
  <si>
    <t>TO Amma</t>
  </si>
  <si>
    <t>Monthly EMI (₹)</t>
  </si>
  <si>
    <t>Interest in Bank</t>
  </si>
  <si>
    <t>Bank Name</t>
  </si>
  <si>
    <t>Siva Priya Loan</t>
  </si>
  <si>
    <t>Account Holder</t>
  </si>
  <si>
    <t>End Date</t>
  </si>
  <si>
    <t>Month-by-Month Payment View — May 2026 to Dec 2030</t>
  </si>
  <si>
    <t>Loan Amount</t>
  </si>
  <si>
    <t>APPA</t>
  </si>
  <si>
    <t>EMIs Left
(approx)</t>
  </si>
  <si>
    <t>Date of Kept</t>
  </si>
  <si>
    <t>AMMA</t>
  </si>
  <si>
    <t>Interest to Pay</t>
  </si>
  <si>
    <t>Remaining
Amount (₹)</t>
  </si>
  <si>
    <t>CUB</t>
  </si>
  <si>
    <t>SMFG Personal
(Naresh)</t>
  </si>
  <si>
    <t>Mani Mozhi</t>
  </si>
  <si>
    <t>₹26,494</t>
  </si>
  <si>
    <t>Personal</t>
  </si>
  <si>
    <t>HOME EXPENSE</t>
  </si>
  <si>
    <t>Apr 2031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</si>
  <si>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</si>
  <si>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</si>
  <si>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</si>
  <si>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</si>
  <si>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</si>
  <si>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</si>
  <si>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</si>
  <si>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</si>
  <si>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</si>
  <si>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</si>
  <si>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Veera kattu potathu</t>
  </si>
  <si>
    <t xml:space="preserve">TVS </t>
  </si>
  <si>
    <t>Jan 2028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</si>
  <si>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</si>
  <si>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</si>
  <si>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</si>
  <si>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</si>
  <si>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21 EMIs left</t>
  </si>
  <si>
    <t>Krishnamoorthy</t>
  </si>
  <si>
    <t xml:space="preserve">எண்ணெய் செட்டியார் </t>
  </si>
  <si>
    <t>Equitas Home
(Appa)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</si>
  <si>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</si>
  <si>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</si>
  <si>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</si>
  <si>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</si>
  <si>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</si>
  <si>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</si>
  <si>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Home Loan</t>
  </si>
  <si>
    <t>Equitas Home loan</t>
  </si>
  <si>
    <t>SivaPriya</t>
  </si>
  <si>
    <t>Expenses</t>
  </si>
  <si>
    <t>Dec 2030</t>
  </si>
  <si>
    <t>Appa Amma Dress</t>
  </si>
  <si>
    <t>Free Cash</t>
  </si>
  <si>
    <t xml:space="preserve">Groceries </t>
  </si>
  <si>
    <t xml:space="preserve">From Gold Loan.                                 7 June </t>
  </si>
  <si>
    <t>Muthu Chithapa</t>
  </si>
  <si>
    <t>Events</t>
  </si>
  <si>
    <t>No prepayment penalty!</t>
  </si>
  <si>
    <t xml:space="preserve">Scooty service </t>
  </si>
  <si>
    <t xml:space="preserve">From Gold Loan.                                 8 June </t>
  </si>
  <si>
    <t>Credit Card</t>
  </si>
  <si>
    <t>Veera Dress</t>
  </si>
  <si>
    <t>ESAF</t>
  </si>
  <si>
    <t xml:space="preserve">10,000 from Naresh </t>
  </si>
  <si>
    <t>Net Recharge</t>
  </si>
  <si>
    <t>Appa</t>
  </si>
  <si>
    <t>Oct 2026</t>
  </si>
  <si>
    <t>AMMA - Microloan</t>
  </si>
  <si>
    <t>TVS Excel
(Appa)</t>
  </si>
  <si>
    <t>DIO Loan</t>
  </si>
  <si>
    <t>Cylinder</t>
  </si>
  <si>
    <t>Urgent – 36-48% interest!</t>
  </si>
  <si>
    <t>Samasta 1</t>
  </si>
  <si>
    <t>NareshKumar</t>
  </si>
  <si>
    <t>Other loan</t>
  </si>
  <si>
    <t>Samasta 2</t>
  </si>
  <si>
    <t>Movie</t>
  </si>
  <si>
    <t>Mat</t>
  </si>
  <si>
    <t>Samasta 3</t>
  </si>
  <si>
    <t>Vehicle</t>
  </si>
  <si>
    <t>Gold coin -2 grams</t>
  </si>
  <si>
    <t>Samasta 4</t>
  </si>
  <si>
    <t xml:space="preserve">credit card.                                        25 June </t>
  </si>
  <si>
    <t>ESAF 1</t>
  </si>
  <si>
    <t>Jul 2027</t>
  </si>
  <si>
    <t>ESAF 2</t>
  </si>
  <si>
    <t>ESAF 3</t>
  </si>
  <si>
    <t>15 EMIs left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</si>
  <si>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</si>
  <si>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</si>
  <si>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</si>
  <si>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</si>
  <si>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</si>
  <si>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</si>
  <si>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</si>
  <si>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</si>
  <si>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</si>
  <si>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</si>
  <si>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</si>
  <si>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</si>
  <si>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</si>
  <si>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</si>
  <si>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</si>
  <si>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</si>
  <si>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</si>
  <si>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</si>
  <si>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</si>
  <si>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</si>
  <si>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</si>
  <si>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</si>
  <si>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</si>
  <si>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</si>
  <si>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</si>
  <si>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</si>
  <si>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</si>
  <si>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</si>
  <si>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</si>
  <si>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</si>
  <si>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</si>
  <si>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</si>
  <si>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</si>
  <si>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Date</t>
  </si>
  <si>
    <t>Tips to Close All Loans Faster</t>
  </si>
  <si>
    <t xml:space="preserve">Category Expense </t>
  </si>
  <si>
    <t>Expense</t>
  </si>
  <si>
    <t>Sep 2026</t>
  </si>
  <si>
    <t>Amma</t>
  </si>
  <si>
    <t>Follow these steps in order — highest impact first</t>
  </si>
  <si>
    <t xml:space="preserve">Credit card </t>
  </si>
  <si>
    <t xml:space="preserve">veera Licence </t>
  </si>
  <si>
    <t xml:space="preserve">Amount </t>
  </si>
  <si>
    <t xml:space="preserve">Bank gold interest </t>
  </si>
  <si>
    <t>1</t>
  </si>
  <si>
    <t>Sivapriya Loan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</si>
  <si>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</si>
  <si>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</si>
  <si>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</si>
  <si>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</si>
  <si>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</si>
  <si>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</si>
  <si>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</si>
  <si>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</si>
  <si>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</si>
  <si>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</si>
  <si>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</si>
  <si>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</si>
  <si>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</si>
  <si>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</si>
  <si>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URGENT — Fix Credit Card NOW</t>
  </si>
  <si>
    <t>Kalyani</t>
  </si>
  <si>
    <t>20,000 from Naresh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</si>
  <si>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</si>
  <si>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Excel EMI </t>
  </si>
  <si>
    <t>Sangeetha</t>
  </si>
  <si>
    <t>Balance-4k Appa</t>
  </si>
  <si>
    <t>13-07-2026</t>
  </si>
  <si>
    <t xml:space="preserve">Priya </t>
  </si>
  <si>
    <t>Equitas Home Loan</t>
  </si>
  <si>
    <t xml:space="preserve">50,000 from Naresh </t>
  </si>
  <si>
    <t>14-07-2026</t>
  </si>
  <si>
    <t>Thavamani</t>
  </si>
  <si>
    <t xml:space="preserve">வார தண்டல் </t>
  </si>
  <si>
    <t>Balance 32,500</t>
  </si>
  <si>
    <t>2</t>
  </si>
  <si>
    <t>Stop taking any new loans</t>
  </si>
  <si>
    <t xml:space="preserve">2nd Wednesday </t>
  </si>
  <si>
    <t>Manimozhi</t>
  </si>
  <si>
    <t>Your EMIs (₹1,15,135) already exceed your combined income (₹1,10,000). Even one new EMI will push you into serious default risk. No new microfinance, personal, or vehicle loan until at least 2027.</t>
  </si>
  <si>
    <t>Sivapriya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</si>
  <si>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</si>
  <si>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</si>
  <si>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</si>
  <si>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Pazhaniyammal</t>
  </si>
  <si>
    <t>4</t>
  </si>
  <si>
    <t>14 due</t>
  </si>
  <si>
    <t>Oct 2026 — ESAF 2 closes (₹3,235 freed)</t>
  </si>
  <si>
    <t>Aasirvad</t>
  </si>
  <si>
    <t>Add this ₹3,235 to your Credit Card or SMFG extra payment. By Oct 2026 you'll have ₹5,885/month extra cash if you stay disciplined.</t>
  </si>
  <si>
    <t>5</t>
  </si>
  <si>
    <t>Arivazhagi loan</t>
  </si>
  <si>
    <t>Nov–Dec 2026 — TVS + DIO close (₹10,725 freed)</t>
  </si>
  <si>
    <t xml:space="preserve">20th of every month </t>
  </si>
  <si>
    <t>c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</si>
  <si>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</si>
  <si>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</si>
  <si>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Debt &amp; EMI Tracker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</si>
  <si>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</si>
  <si>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</si>
  <si>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</si>
  <si>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</si>
  <si>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</si>
  <si>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</si>
  <si>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</si>
  <si>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</si>
  <si>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</si>
  <si>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Principal Amount</t>
  </si>
  <si>
    <t>Interest Rate (%)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</si>
  <si>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</si>
  <si>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</si>
  <si>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Total EMIs</t>
  </si>
  <si>
    <t>10</t>
  </si>
  <si>
    <t>EMIs Paid</t>
  </si>
  <si>
    <t>Remaining EMIs</t>
  </si>
  <si>
    <t>SMFG Loan — wait for 36 EMIs then foreclose</t>
  </si>
  <si>
    <t>Total Paid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</si>
  <si>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</si>
  <si>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Remaining Balance</t>
  </si>
  <si>
    <t>11</t>
  </si>
  <si>
    <t>Total Interest</t>
  </si>
  <si>
    <t>SMFG Personal Loan - Naresh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</si>
  <si>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</si>
  <si>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</si>
  <si>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</si>
  <si>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</si>
  <si>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</si>
  <si>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</si>
  <si>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</si>
  <si>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</si>
  <si>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</si>
  <si>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</si>
  <si>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</si>
  <si>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</si>
  <si>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</si>
  <si>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</si>
  <si>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</si>
  <si>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</si>
  <si>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</si>
  <si>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</si>
  <si>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</si>
  <si>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</si>
  <si>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</si>
  <si>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</si>
  <si>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</si>
  <si>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</si>
  <si>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</si>
  <si>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</si>
  <si>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SBI Personal Loan - SivaPriya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</si>
  <si>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</si>
  <si>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</si>
  <si>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</si>
  <si>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</si>
  <si>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</si>
  <si>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</si>
  <si>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</si>
  <si>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</si>
  <si>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Credit Card closes ✓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</si>
  <si>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</si>
  <si>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</si>
  <si>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</si>
  <si>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</si>
  <si>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</si>
  <si>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</si>
  <si>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Equitas Home Loan - (APPA)Krishnamoorthy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</si>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</sst>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9" numFmtId="0" xfId="0" applyFill="1" applyFont="1"/>
    <xf borderId="6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2" numFmtId="10" xfId="0" applyAlignment="1" applyFont="1" applyNumberFormat="1">
      <alignment readingOrder="0"/>
    </xf>
    <xf borderId="0" fillId="0" fontId="11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5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0" fillId="0" fontId="4" numFmtId="0" xfId="0" applyFont="1"/>
    <xf borderId="6" fillId="8" fontId="8" numFmtId="0" xfId="0" applyAlignment="1" applyBorder="1" applyFill="1" applyFon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7" fontId="17" numFmtId="169" xfId="0" applyAlignment="1" applyBorder="1" applyFont="1" applyNumberFormat="1">
      <alignment horizontal="right" vertical="center"/>
    </xf>
    <xf borderId="0" fillId="0" fontId="12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2" numFmtId="164" xfId="0" applyFont="1" applyNumberFormat="1"/>
    <xf borderId="5" fillId="10" fontId="14" numFmtId="49" xfId="0" applyAlignment="1" applyBorder="1" applyFont="1" applyNumberFormat="1">
      <alignment horizontal="center" vertical="center"/>
    </xf>
    <xf borderId="0" fillId="0" fontId="12" numFmtId="168" xfId="0" applyFont="1" applyNumberFormat="1"/>
    <xf borderId="0" fillId="0" fontId="4" numFmtId="166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3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0" fillId="15" fontId="4" numFmtId="0" xfId="0" applyAlignment="1" applyFill="1" applyFont="1">
      <alignment horizontal="right" readingOrder="0"/>
    </xf>
    <xf borderId="0" fillId="0" fontId="23" numFmtId="0" xfId="0" applyAlignment="1" applyFont="1">
      <alignment vertical="bottom"/>
    </xf>
    <xf borderId="6" fillId="2" fontId="1" numFmtId="0" xfId="0" applyAlignment="1" applyBorder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5" fillId="16" fontId="13" numFmtId="49" xfId="0" applyAlignment="1" applyBorder="1" applyFill="1" applyFont="1" applyNumberFormat="1">
      <alignment shrinkToFit="0" vertical="center" wrapText="0"/>
    </xf>
    <xf borderId="0" fillId="0" fontId="23" numFmtId="3" xfId="0" applyAlignment="1" applyFont="1" applyNumberFormat="1">
      <alignment horizontal="right" vertical="bottom"/>
    </xf>
    <xf borderId="0" fillId="15" fontId="4" numFmtId="0" xfId="0" applyAlignment="1" applyFont="1">
      <alignment readingOrder="0"/>
    </xf>
    <xf borderId="6" fillId="8" fontId="24" numFmtId="0" xfId="0" applyAlignment="1" applyBorder="1" applyFont="1">
      <alignment horizontal="center" vertical="center"/>
    </xf>
    <xf borderId="0" fillId="0" fontId="23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8" numFmtId="170" xfId="0" applyAlignment="1" applyBorder="1" applyFont="1" applyNumberFormat="1">
      <alignment shrinkToFit="0" vertical="center" wrapText="0"/>
    </xf>
    <xf borderId="5" fillId="7" fontId="25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7" fontId="13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5" fillId="16" fontId="14" numFmtId="49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shrinkToFit="0" vertical="center" wrapText="1"/>
    </xf>
    <xf borderId="5" fillId="16" fontId="14" numFmtId="16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3" numFmtId="174" xfId="0" applyAlignment="1" applyFont="1" applyNumberFormat="1">
      <alignment horizontal="right" vertical="bottom"/>
    </xf>
    <xf borderId="5" fillId="16" fontId="14" numFmtId="169" xfId="0" applyAlignment="1" applyBorder="1" applyFont="1" applyNumberFormat="1">
      <alignment horizontal="center" shrinkToFit="0" vertical="center" wrapText="0"/>
    </xf>
    <xf borderId="0" fillId="0" fontId="23" numFmtId="0" xfId="0" applyAlignment="1" applyFont="1">
      <alignment horizontal="right" readingOrder="0" vertical="bottom"/>
    </xf>
    <xf borderId="5" fillId="17" fontId="25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1" fontId="25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9" fontId="25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5" numFmtId="0" xfId="0" applyAlignment="1" applyBorder="1" applyFont="1">
      <alignment horizontal="center" vertical="center"/>
    </xf>
    <xf borderId="0" fillId="19" fontId="28" numFmtId="0" xfId="0" applyFill="1" applyFont="1"/>
    <xf borderId="5" fillId="10" fontId="13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20" fontId="25" numFmtId="0" xfId="0" applyAlignment="1" applyBorder="1" applyFill="1" applyFont="1">
      <alignment horizontal="center" vertical="center"/>
    </xf>
    <xf borderId="5" fillId="20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6" xfId="0" applyAlignment="1" applyFont="1" applyNumberFormat="1">
      <alignment horizontal="right"/>
    </xf>
    <xf borderId="5" fillId="20" fontId="13" numFmtId="0" xfId="0" applyAlignment="1" applyBorder="1" applyFont="1">
      <alignment horizontal="center" vertical="center"/>
    </xf>
    <xf borderId="0" fillId="16" fontId="28" numFmtId="10" xfId="0" applyAlignment="1" applyFont="1" applyNumberFormat="1">
      <alignment horizontal="right"/>
    </xf>
    <xf borderId="5" fillId="20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19" fontId="23" numFmtId="166" xfId="0" applyFont="1" applyNumberFormat="1"/>
    <xf borderId="0" fillId="19" fontId="23" numFmtId="10" xfId="0" applyFont="1" applyNumberFormat="1"/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9" fontId="23" numFmtId="0" xfId="0" applyFont="1"/>
    <xf borderId="0" fillId="19" fontId="23" numFmtId="164" xfId="0" applyFont="1" applyNumberFormat="1"/>
    <xf borderId="0" fillId="16" fontId="23" numFmtId="10" xfId="0" applyFont="1" applyNumberFormat="1"/>
    <xf borderId="0" fillId="16" fontId="23" numFmtId="0" xfId="0" applyFont="1"/>
    <xf borderId="0" fillId="16" fontId="23" numFmtId="166" xfId="0" applyFont="1" applyNumberFormat="1"/>
    <xf borderId="0" fillId="16" fontId="23" numFmtId="164" xfId="0" applyFont="1" applyNumberFormat="1"/>
    <xf borderId="0" fillId="16" fontId="28" numFmtId="0" xfId="0" applyAlignment="1" applyFont="1">
      <alignment vertical="bottom"/>
    </xf>
    <xf borderId="0" fillId="16" fontId="28" numFmtId="166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16" fontId="28" numFmtId="0" xfId="0" applyAlignment="1" applyFont="1">
      <alignment horizontal="right" vertical="bottom"/>
    </xf>
    <xf borderId="0" fillId="16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7" fontId="13" numFmtId="49" xfId="0" applyAlignment="1" applyBorder="1" applyFont="1" applyNumberFormat="1">
      <alignment shrinkToFit="0" vertical="center" wrapText="0"/>
    </xf>
    <xf borderId="5" fillId="17" fontId="13" numFmtId="170" xfId="0" applyAlignment="1" applyBorder="1" applyFont="1" applyNumberFormat="1">
      <alignment readingOrder="0" shrinkToFit="0" vertical="center" wrapText="0"/>
    </xf>
    <xf borderId="5" fillId="17" fontId="14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15</v>
      </c>
      <c r="D7" s="15" t="s">
        <v>8</v>
      </c>
      <c r="E7" s="15" t="s">
        <v>20</v>
      </c>
      <c r="F7" s="15" t="s">
        <v>24</v>
      </c>
      <c r="G7" s="15" t="s">
        <v>28</v>
      </c>
      <c r="H7" s="15" t="s">
        <v>11</v>
      </c>
    </row>
    <row r="8" ht="21.75" customHeight="1">
      <c r="B8" s="29" t="s">
        <v>30</v>
      </c>
      <c r="C8" s="32" t="s">
        <v>32</v>
      </c>
      <c r="D8" s="34" t="s">
        <v>33</v>
      </c>
      <c r="E8" s="34" t="s">
        <v>35</v>
      </c>
      <c r="F8" s="35">
        <v>59.0</v>
      </c>
      <c r="G8" s="38">
        <v>1563146.0</v>
      </c>
      <c r="H8" s="39" t="s">
        <v>42</v>
      </c>
    </row>
    <row r="9" ht="21.75" customHeight="1">
      <c r="B9" s="29" t="s">
        <v>45</v>
      </c>
      <c r="C9" s="38">
        <v>11839.0</v>
      </c>
      <c r="D9" s="34" t="s">
        <v>33</v>
      </c>
      <c r="E9" s="34" t="s">
        <v>48</v>
      </c>
      <c r="F9" s="35">
        <v>20.0</v>
      </c>
      <c r="G9" s="38">
        <v>236780.0</v>
      </c>
      <c r="H9" s="39" t="s">
        <v>53</v>
      </c>
    </row>
    <row r="10" ht="21.75" customHeight="1">
      <c r="B10" s="41" t="s">
        <v>56</v>
      </c>
      <c r="C10" s="42">
        <v>15250.0</v>
      </c>
      <c r="D10" s="43" t="s">
        <v>63</v>
      </c>
      <c r="E10" s="43" t="s">
        <v>67</v>
      </c>
      <c r="F10" s="44">
        <v>55.0</v>
      </c>
      <c r="G10" s="42">
        <v>838750.0</v>
      </c>
      <c r="H10" s="45" t="s">
        <v>74</v>
      </c>
    </row>
    <row r="11" ht="21.75" customHeight="1">
      <c r="B11" s="29" t="s">
        <v>77</v>
      </c>
      <c r="C11" s="48">
        <v>18972.0</v>
      </c>
      <c r="D11" s="34" t="s">
        <v>77</v>
      </c>
      <c r="E11" s="34" t="s">
        <v>83</v>
      </c>
      <c r="F11" s="35">
        <v>5.0</v>
      </c>
      <c r="G11" s="38">
        <v>94860.0</v>
      </c>
      <c r="H11" s="39" t="s">
        <v>88</v>
      </c>
    </row>
    <row r="12" ht="21.75" customHeight="1">
      <c r="B12" s="50" t="s">
        <v>85</v>
      </c>
      <c r="C12" s="51">
        <v>5087.0</v>
      </c>
      <c r="D12" s="53" t="s">
        <v>96</v>
      </c>
      <c r="E12" s="53" t="s">
        <v>101</v>
      </c>
      <c r="F12" s="56">
        <v>14.0</v>
      </c>
      <c r="G12" s="51">
        <v>71218.0</v>
      </c>
      <c r="H12" s="57" t="s">
        <v>104</v>
      </c>
    </row>
    <row r="13" ht="21.75" customHeight="1">
      <c r="B13" s="50" t="s">
        <v>86</v>
      </c>
      <c r="C13" s="51">
        <v>5638.0</v>
      </c>
      <c r="D13" s="53" t="s">
        <v>96</v>
      </c>
      <c r="E13" s="53" t="s">
        <v>101</v>
      </c>
      <c r="F13" s="56">
        <v>14.0</v>
      </c>
      <c r="G13" s="51">
        <v>78932.0</v>
      </c>
      <c r="H13" s="57" t="s">
        <v>104</v>
      </c>
    </row>
    <row r="14" ht="21.75" customHeight="1">
      <c r="B14" s="59" t="s">
        <v>89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9" t="s">
        <v>92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9" t="s">
        <v>95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9" t="s">
        <v>98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9" t="s">
        <v>100</v>
      </c>
      <c r="C18" s="61">
        <v>5390.0</v>
      </c>
      <c r="D18" s="62" t="s">
        <v>110</v>
      </c>
      <c r="E18" s="62" t="s">
        <v>48</v>
      </c>
      <c r="F18" s="63">
        <v>20.0</v>
      </c>
      <c r="G18" s="61">
        <v>107800.0</v>
      </c>
      <c r="H18" s="64" t="s">
        <v>117</v>
      </c>
    </row>
    <row r="19" ht="21.75" customHeight="1">
      <c r="B19" s="59" t="s">
        <v>102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9" t="s">
        <v>103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71" t="s">
        <v>105</v>
      </c>
      <c r="C21" s="73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107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7" t="s">
        <v>130</v>
      </c>
      <c r="C28" s="25"/>
      <c r="D28" s="25"/>
      <c r="E28" s="25"/>
      <c r="F28" s="25"/>
      <c r="G28" s="25"/>
      <c r="H28" s="33"/>
    </row>
    <row r="29" ht="15.75" customHeight="1">
      <c r="B29" s="82" t="s">
        <v>131</v>
      </c>
      <c r="C29" s="25"/>
      <c r="D29" s="25"/>
      <c r="E29" s="25"/>
      <c r="F29" s="25"/>
      <c r="G29" s="25"/>
      <c r="H29" s="83"/>
    </row>
    <row r="30" ht="15.75" customHeight="1">
      <c r="B30" s="82" t="s">
        <v>132</v>
      </c>
      <c r="C30" s="25"/>
      <c r="D30" s="25"/>
      <c r="E30" s="25"/>
      <c r="F30" s="25"/>
      <c r="G30" s="25"/>
      <c r="H30" s="83"/>
    </row>
    <row r="31" ht="15.75" customHeight="1">
      <c r="B31" s="85" t="s">
        <v>133</v>
      </c>
      <c r="C31" s="25"/>
      <c r="D31" s="25"/>
      <c r="E31" s="25"/>
      <c r="F31" s="25"/>
      <c r="G31" s="25"/>
      <c r="H31" s="83"/>
    </row>
    <row r="32" ht="15.75" customHeight="1">
      <c r="B32" s="86" t="s">
        <v>134</v>
      </c>
      <c r="C32" s="25"/>
      <c r="D32" s="25"/>
      <c r="E32" s="25"/>
      <c r="F32" s="25"/>
      <c r="G32" s="25"/>
      <c r="H32" s="83"/>
    </row>
    <row r="33" ht="15.75" customHeight="1">
      <c r="B33" s="87" t="s">
        <v>135</v>
      </c>
      <c r="C33" s="25"/>
      <c r="D33" s="25"/>
      <c r="E33" s="25"/>
      <c r="F33" s="25"/>
      <c r="G33" s="2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7" t="s">
        <v>36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0" t="s">
        <v>7</v>
      </c>
      <c r="C4" s="40" t="s">
        <v>58</v>
      </c>
      <c r="D4" s="40" t="s">
        <v>61</v>
      </c>
      <c r="E4" s="40" t="s">
        <v>66</v>
      </c>
      <c r="F4" s="40" t="s">
        <v>69</v>
      </c>
      <c r="G4" s="40" t="s">
        <v>73</v>
      </c>
      <c r="H4" s="46" t="s">
        <v>30</v>
      </c>
      <c r="I4" s="46" t="s">
        <v>45</v>
      </c>
      <c r="J4" s="46" t="s">
        <v>56</v>
      </c>
      <c r="K4" s="46" t="s">
        <v>77</v>
      </c>
      <c r="L4" s="46" t="s">
        <v>85</v>
      </c>
      <c r="M4" s="46" t="s">
        <v>86</v>
      </c>
      <c r="N4" s="46" t="s">
        <v>89</v>
      </c>
      <c r="O4" s="46" t="s">
        <v>92</v>
      </c>
      <c r="P4" s="46" t="s">
        <v>95</v>
      </c>
      <c r="Q4" s="46" t="s">
        <v>98</v>
      </c>
      <c r="R4" s="46" t="s">
        <v>100</v>
      </c>
      <c r="S4" s="46" t="s">
        <v>102</v>
      </c>
      <c r="T4" s="46" t="s">
        <v>103</v>
      </c>
      <c r="U4" s="58" t="s">
        <v>105</v>
      </c>
      <c r="V4" s="58" t="s">
        <v>106</v>
      </c>
      <c r="W4" s="46" t="s">
        <v>107</v>
      </c>
      <c r="X4" s="46" t="s">
        <v>108</v>
      </c>
    </row>
    <row r="5" ht="22.5" customHeight="1">
      <c r="B5" s="60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8" t="s">
        <v>142</v>
      </c>
      <c r="C8" s="104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6">
        <v>18972.0</v>
      </c>
      <c r="L8" s="74">
        <v>4500.0</v>
      </c>
      <c r="M8" s="74">
        <v>5000.0</v>
      </c>
      <c r="N8" s="112">
        <v>3150.0</v>
      </c>
      <c r="O8" s="93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69">
        <v>1740.0</v>
      </c>
    </row>
    <row r="9" ht="22.5" customHeight="1">
      <c r="B9" s="81" t="s">
        <v>83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8" t="s">
        <v>248</v>
      </c>
      <c r="C10" s="104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3"/>
      <c r="L10" s="74">
        <v>4500.0</v>
      </c>
      <c r="M10" s="74">
        <v>5000.0</v>
      </c>
      <c r="N10" s="112">
        <v>3150.0</v>
      </c>
      <c r="O10" s="93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69">
        <v>1740.0</v>
      </c>
    </row>
    <row r="11" ht="22.5" customHeight="1">
      <c r="B11" s="60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8" t="s">
        <v>251</v>
      </c>
      <c r="C12" s="104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3"/>
      <c r="L12" s="74">
        <v>4500.0</v>
      </c>
      <c r="M12" s="74">
        <v>5000.0</v>
      </c>
      <c r="N12" s="112">
        <v>3150.0</v>
      </c>
      <c r="O12" s="93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1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1" t="s">
        <v>111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60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2"/>
    </row>
    <row r="16" ht="22.5" customHeight="1">
      <c r="B16" s="98" t="s">
        <v>306</v>
      </c>
      <c r="C16" s="104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3"/>
      <c r="L16" s="74">
        <v>4500.0</v>
      </c>
      <c r="M16" s="74">
        <v>5000.0</v>
      </c>
      <c r="N16" s="178"/>
      <c r="O16" s="93"/>
      <c r="P16" s="112">
        <v>2600.0</v>
      </c>
      <c r="Q16" s="112">
        <v>2680.0</v>
      </c>
      <c r="R16" s="112">
        <v>5390.0</v>
      </c>
      <c r="S16" s="112">
        <v>3235.0</v>
      </c>
      <c r="T16" s="178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79" t="s">
        <v>257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4">
        <v>4500.0</v>
      </c>
      <c r="M17" s="74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2"/>
    </row>
    <row r="18" ht="22.5" customHeight="1">
      <c r="B18" s="185" t="s">
        <v>101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4">
        <v>4500.0</v>
      </c>
      <c r="M18" s="74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2"/>
    </row>
    <row r="19" ht="22.5" customHeight="1">
      <c r="B19" s="60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2"/>
    </row>
    <row r="20" ht="15.75" customHeight="1">
      <c r="B20" s="98" t="s">
        <v>310</v>
      </c>
      <c r="C20" s="104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3"/>
      <c r="L20" s="178"/>
      <c r="M20" s="178"/>
      <c r="N20" s="178"/>
      <c r="O20" s="93"/>
      <c r="P20" s="112">
        <v>2600.0</v>
      </c>
      <c r="Q20" s="112">
        <v>2680.0</v>
      </c>
      <c r="R20" s="112">
        <v>5390.0</v>
      </c>
      <c r="S20" s="112">
        <v>3235.0</v>
      </c>
      <c r="T20" s="178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1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98" t="s">
        <v>312</v>
      </c>
      <c r="C22" s="104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3"/>
      <c r="L22" s="178"/>
      <c r="M22" s="178"/>
      <c r="N22" s="178"/>
      <c r="O22" s="93"/>
      <c r="P22" s="112">
        <v>2600.0</v>
      </c>
      <c r="Q22" s="112">
        <v>2680.0</v>
      </c>
      <c r="R22" s="112">
        <v>5390.0</v>
      </c>
      <c r="S22" s="178"/>
      <c r="T22" s="178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60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2"/>
    </row>
    <row r="24" ht="15.75" customHeight="1">
      <c r="B24" s="185" t="s">
        <v>48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2"/>
    </row>
    <row r="25" ht="15.75" customHeight="1">
      <c r="B25" s="60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2"/>
    </row>
    <row r="26" ht="15.75" customHeight="1">
      <c r="B26" s="81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1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98" t="s">
        <v>318</v>
      </c>
      <c r="C28" s="104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10"/>
      <c r="H28" s="112">
        <v>26494.0</v>
      </c>
      <c r="I28" s="178"/>
      <c r="J28" s="112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1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2"/>
    </row>
    <row r="30" ht="15.75" customHeight="1">
      <c r="B30" s="98" t="s">
        <v>320</v>
      </c>
      <c r="C30" s="104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10"/>
      <c r="H30" s="112">
        <v>26494.0</v>
      </c>
      <c r="I30" s="178"/>
      <c r="J30" s="112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2">
        <v>5000.0</v>
      </c>
      <c r="X30" s="112"/>
    </row>
    <row r="31" ht="15.75" customHeight="1">
      <c r="B31" s="60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2"/>
    </row>
    <row r="32" ht="15.75" customHeight="1">
      <c r="B32" s="98" t="s">
        <v>322</v>
      </c>
      <c r="C32" s="104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10"/>
      <c r="H32" s="112">
        <v>26494.0</v>
      </c>
      <c r="I32" s="178"/>
      <c r="J32" s="112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2">
        <v>5000.0</v>
      </c>
      <c r="X32" s="112"/>
    </row>
    <row r="33" ht="15.75" customHeight="1">
      <c r="B33" s="60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2"/>
    </row>
    <row r="34" ht="15.75" customHeight="1">
      <c r="B34" s="98" t="s">
        <v>324</v>
      </c>
      <c r="C34" s="104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10"/>
      <c r="H34" s="112">
        <v>26494.0</v>
      </c>
      <c r="I34" s="178"/>
      <c r="J34" s="112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2">
        <v>5000.0</v>
      </c>
      <c r="X34" s="112"/>
    </row>
    <row r="35" ht="15.75" customHeight="1">
      <c r="B35" s="81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2"/>
    </row>
    <row r="36" ht="15.75" customHeight="1">
      <c r="B36" s="98" t="s">
        <v>326</v>
      </c>
      <c r="C36" s="104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10"/>
      <c r="H36" s="112">
        <v>26494.0</v>
      </c>
      <c r="I36" s="178"/>
      <c r="J36" s="112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0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8" t="s">
        <v>328</v>
      </c>
      <c r="C38" s="104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10"/>
      <c r="H38" s="112">
        <v>26494.0</v>
      </c>
      <c r="I38" s="178"/>
      <c r="J38" s="112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0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8" t="s">
        <v>330</v>
      </c>
      <c r="C40" s="104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10"/>
      <c r="H40" s="112">
        <v>26494.0</v>
      </c>
      <c r="I40" s="178"/>
      <c r="J40" s="112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0" t="s">
        <v>270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8" t="s">
        <v>332</v>
      </c>
      <c r="C42" s="104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10"/>
      <c r="H42" s="112">
        <v>26494.0</v>
      </c>
      <c r="I42" s="178"/>
      <c r="J42" s="112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0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8" t="s">
        <v>334</v>
      </c>
      <c r="C44" s="104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10"/>
      <c r="H44" s="112">
        <v>26494.0</v>
      </c>
      <c r="I44" s="178"/>
      <c r="J44" s="112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0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8" t="s">
        <v>336</v>
      </c>
      <c r="C46" s="104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10"/>
      <c r="H46" s="112">
        <v>26494.0</v>
      </c>
      <c r="I46" s="178"/>
      <c r="J46" s="112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0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8" t="s">
        <v>338</v>
      </c>
      <c r="C48" s="104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10"/>
      <c r="H48" s="112">
        <v>26494.0</v>
      </c>
      <c r="I48" s="178"/>
      <c r="J48" s="112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0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8" t="s">
        <v>340</v>
      </c>
      <c r="C50" s="104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10"/>
      <c r="H50" s="112">
        <v>26494.0</v>
      </c>
      <c r="I50" s="178"/>
      <c r="J50" s="112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0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8" t="s">
        <v>342</v>
      </c>
      <c r="C52" s="104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10"/>
      <c r="H52" s="112">
        <v>26494.0</v>
      </c>
      <c r="I52" s="178"/>
      <c r="J52" s="112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0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8" t="s">
        <v>344</v>
      </c>
      <c r="C54" s="104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10"/>
      <c r="H54" s="112">
        <v>26494.0</v>
      </c>
      <c r="I54" s="178"/>
      <c r="J54" s="112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0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8" t="s">
        <v>346</v>
      </c>
      <c r="C56" s="104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10"/>
      <c r="H56" s="112">
        <v>26494.0</v>
      </c>
      <c r="I56" s="178"/>
      <c r="J56" s="112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0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8" t="s">
        <v>348</v>
      </c>
      <c r="C58" s="104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10"/>
      <c r="H58" s="112">
        <v>26494.0</v>
      </c>
      <c r="I58" s="178"/>
      <c r="J58" s="112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67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11</v>
      </c>
    </row>
    <row r="4">
      <c r="A4" s="14">
        <v>46174.0</v>
      </c>
      <c r="B4" s="16" t="s">
        <v>14</v>
      </c>
      <c r="C4" s="18">
        <v>1000.0</v>
      </c>
      <c r="D4" s="19">
        <v>46174.0</v>
      </c>
    </row>
    <row r="5">
      <c r="A5" s="14">
        <v>46175.0</v>
      </c>
      <c r="B5" s="16" t="s">
        <v>18</v>
      </c>
      <c r="C5" s="18">
        <v>12000.0</v>
      </c>
      <c r="D5" s="19">
        <v>46174.0</v>
      </c>
    </row>
    <row r="6">
      <c r="A6" s="14">
        <v>46176.0</v>
      </c>
      <c r="B6" s="16" t="s">
        <v>23</v>
      </c>
      <c r="C6" s="18">
        <v>2000.0</v>
      </c>
      <c r="D6" s="19">
        <v>46176.0</v>
      </c>
    </row>
    <row r="7">
      <c r="A7" s="14">
        <v>46177.0</v>
      </c>
      <c r="B7" s="16" t="s">
        <v>26</v>
      </c>
      <c r="C7" s="18">
        <v>3000.0</v>
      </c>
      <c r="D7" s="19">
        <v>46177.0</v>
      </c>
    </row>
    <row r="8">
      <c r="A8" s="14">
        <v>46178.0</v>
      </c>
      <c r="B8" s="22" t="s">
        <v>26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34</v>
      </c>
      <c r="C9" s="18">
        <v>585.0</v>
      </c>
      <c r="D9" s="19">
        <v>46179.0</v>
      </c>
    </row>
    <row r="10">
      <c r="A10" s="14">
        <v>46180.0</v>
      </c>
      <c r="B10" s="16" t="s">
        <v>37</v>
      </c>
      <c r="C10" s="18">
        <v>4208.0</v>
      </c>
      <c r="D10" s="16" t="s">
        <v>38</v>
      </c>
    </row>
    <row r="11">
      <c r="A11" s="14">
        <v>46181.0</v>
      </c>
      <c r="B11" s="16" t="s">
        <v>23</v>
      </c>
      <c r="C11" s="18">
        <v>2000.0</v>
      </c>
      <c r="D11" s="36"/>
    </row>
    <row r="12">
      <c r="A12" s="14">
        <v>46182.0</v>
      </c>
      <c r="B12" s="16" t="s">
        <v>39</v>
      </c>
      <c r="C12" s="18">
        <v>2000.0</v>
      </c>
      <c r="D12" s="16" t="s">
        <v>40</v>
      </c>
    </row>
    <row r="13">
      <c r="A13" s="14">
        <v>46174.0</v>
      </c>
      <c r="B13" s="16" t="s">
        <v>41</v>
      </c>
      <c r="C13" s="18">
        <v>9975.0</v>
      </c>
      <c r="D13" s="16" t="s">
        <v>43</v>
      </c>
    </row>
    <row r="14">
      <c r="A14" s="14">
        <v>46174.0</v>
      </c>
      <c r="B14" s="16" t="s">
        <v>44</v>
      </c>
      <c r="C14" s="18">
        <v>185.0</v>
      </c>
      <c r="D14" s="16" t="s">
        <v>43</v>
      </c>
    </row>
    <row r="15">
      <c r="A15" s="14">
        <v>46174.0</v>
      </c>
      <c r="B15" s="16" t="s">
        <v>46</v>
      </c>
      <c r="C15" s="18">
        <v>650.0</v>
      </c>
      <c r="D15" s="16" t="s">
        <v>43</v>
      </c>
    </row>
    <row r="16">
      <c r="A16" s="14">
        <v>46174.0</v>
      </c>
      <c r="B16" s="16" t="s">
        <v>47</v>
      </c>
      <c r="C16" s="18">
        <v>5077.0</v>
      </c>
      <c r="D16" s="16" t="s">
        <v>49</v>
      </c>
    </row>
    <row r="17">
      <c r="A17" s="14">
        <v>46174.0</v>
      </c>
      <c r="B17" s="16" t="s">
        <v>50</v>
      </c>
      <c r="C17" s="18">
        <v>716.0</v>
      </c>
      <c r="D17" s="16" t="s">
        <v>51</v>
      </c>
    </row>
    <row r="18">
      <c r="A18" s="14">
        <v>46175.0</v>
      </c>
      <c r="B18" s="16" t="s">
        <v>52</v>
      </c>
      <c r="C18" s="18">
        <v>5000.0</v>
      </c>
      <c r="D18" s="16" t="s">
        <v>51</v>
      </c>
    </row>
    <row r="19">
      <c r="A19" s="14">
        <v>46176.0</v>
      </c>
      <c r="B19" s="16" t="s">
        <v>55</v>
      </c>
      <c r="C19" s="18">
        <v>2000.0</v>
      </c>
      <c r="D19" s="16" t="s">
        <v>51</v>
      </c>
    </row>
    <row r="20">
      <c r="A20" s="14">
        <v>46177.0</v>
      </c>
      <c r="B20" s="16" t="s">
        <v>57</v>
      </c>
      <c r="C20" s="18">
        <v>240.0</v>
      </c>
      <c r="D20" s="16" t="s">
        <v>51</v>
      </c>
    </row>
    <row r="21">
      <c r="A21" s="14">
        <v>46178.0</v>
      </c>
      <c r="B21" s="16" t="s">
        <v>59</v>
      </c>
      <c r="C21" s="18">
        <v>512.0</v>
      </c>
      <c r="D21" s="16" t="s">
        <v>60</v>
      </c>
    </row>
    <row r="22">
      <c r="A22" s="14">
        <v>46179.0</v>
      </c>
      <c r="B22" s="16" t="s">
        <v>62</v>
      </c>
      <c r="C22" s="18">
        <v>3000.0</v>
      </c>
      <c r="D22" s="16" t="s">
        <v>60</v>
      </c>
    </row>
    <row r="23">
      <c r="A23" s="14">
        <v>46180.0</v>
      </c>
      <c r="B23" s="16" t="s">
        <v>64</v>
      </c>
      <c r="C23" s="18">
        <v>15230.0</v>
      </c>
      <c r="D23" s="16" t="s">
        <v>60</v>
      </c>
    </row>
    <row r="24">
      <c r="A24" s="14">
        <v>46181.0</v>
      </c>
      <c r="B24" s="16" t="s">
        <v>68</v>
      </c>
      <c r="C24" s="18">
        <v>1950.0</v>
      </c>
      <c r="D24" s="16" t="s">
        <v>60</v>
      </c>
    </row>
    <row r="25">
      <c r="A25" s="14">
        <v>46182.0</v>
      </c>
      <c r="B25" s="16" t="s">
        <v>70</v>
      </c>
      <c r="C25" s="18">
        <v>500.0</v>
      </c>
      <c r="D25" s="16" t="s">
        <v>71</v>
      </c>
    </row>
    <row r="26">
      <c r="A26" s="14">
        <v>46183.0</v>
      </c>
      <c r="B26" s="16" t="s">
        <v>72</v>
      </c>
      <c r="C26" s="18">
        <v>850.0</v>
      </c>
      <c r="D26" s="16" t="s">
        <v>71</v>
      </c>
    </row>
    <row r="27">
      <c r="A27" s="14">
        <v>46184.0</v>
      </c>
      <c r="B27" s="16" t="s">
        <v>75</v>
      </c>
      <c r="C27" s="18">
        <v>3000.0</v>
      </c>
      <c r="D27" s="16" t="s">
        <v>76</v>
      </c>
    </row>
    <row r="28">
      <c r="A28" s="14">
        <v>46185.0</v>
      </c>
      <c r="B28" s="16" t="s">
        <v>78</v>
      </c>
      <c r="C28" s="18">
        <v>4000.0</v>
      </c>
      <c r="D28" s="16" t="s">
        <v>76</v>
      </c>
    </row>
    <row r="29">
      <c r="A29" s="14">
        <v>46186.0</v>
      </c>
      <c r="B29" s="16" t="s">
        <v>79</v>
      </c>
      <c r="C29" s="18">
        <v>9855.0</v>
      </c>
      <c r="D29" s="16" t="s">
        <v>80</v>
      </c>
    </row>
    <row r="30">
      <c r="A30" s="14">
        <v>46187.0</v>
      </c>
      <c r="B30" s="16" t="s">
        <v>81</v>
      </c>
      <c r="C30" s="18">
        <v>590.0</v>
      </c>
      <c r="D30" s="19">
        <v>46181.0</v>
      </c>
    </row>
    <row r="31">
      <c r="A31" s="14">
        <v>46188.0</v>
      </c>
      <c r="B31" s="16" t="s">
        <v>82</v>
      </c>
      <c r="C31" s="18">
        <v>2000.0</v>
      </c>
      <c r="D31" s="19">
        <v>46184.0</v>
      </c>
    </row>
    <row r="32">
      <c r="A32" s="14">
        <v>46189.0</v>
      </c>
      <c r="B32" s="16" t="s">
        <v>84</v>
      </c>
      <c r="C32" s="18">
        <v>6000.0</v>
      </c>
      <c r="D32" s="19">
        <v>46191.0</v>
      </c>
    </row>
    <row r="33">
      <c r="A33" s="14">
        <v>46174.0</v>
      </c>
      <c r="B33" s="16" t="s">
        <v>87</v>
      </c>
      <c r="C33" s="18">
        <v>1070.0</v>
      </c>
      <c r="D33" s="19">
        <v>46193.0</v>
      </c>
    </row>
    <row r="34">
      <c r="A34" s="14">
        <v>46174.0</v>
      </c>
      <c r="B34" s="16" t="s">
        <v>91</v>
      </c>
      <c r="C34" s="18">
        <v>5000.0</v>
      </c>
      <c r="D34" s="19">
        <v>46193.0</v>
      </c>
    </row>
    <row r="35">
      <c r="A35" s="14">
        <v>46174.0</v>
      </c>
      <c r="B35" s="16" t="s">
        <v>93</v>
      </c>
      <c r="C35" s="18">
        <v>850.0</v>
      </c>
      <c r="D35" s="19">
        <v>46194.0</v>
      </c>
    </row>
    <row r="36">
      <c r="A36" s="14">
        <v>46174.0</v>
      </c>
      <c r="B36" s="16" t="s">
        <v>94</v>
      </c>
      <c r="C36" s="18">
        <v>220.0</v>
      </c>
      <c r="D36" s="19">
        <v>46194.0</v>
      </c>
    </row>
    <row r="37">
      <c r="A37" s="14">
        <v>46174.0</v>
      </c>
      <c r="B37" s="16" t="s">
        <v>97</v>
      </c>
      <c r="C37" s="18">
        <v>27500.0</v>
      </c>
      <c r="D37" s="16" t="s">
        <v>99</v>
      </c>
    </row>
    <row r="38">
      <c r="A38" s="36"/>
      <c r="B38" s="36"/>
      <c r="C38" s="55"/>
      <c r="D38" s="36"/>
    </row>
    <row r="39">
      <c r="A39" s="36"/>
      <c r="B39" s="36"/>
      <c r="C39" s="55"/>
      <c r="D39" s="36"/>
    </row>
    <row r="40">
      <c r="A40" s="36"/>
      <c r="B40" s="36"/>
      <c r="C40" s="55"/>
      <c r="D40" s="36"/>
    </row>
    <row r="41">
      <c r="A41" s="36"/>
      <c r="B41" s="36"/>
      <c r="C41" s="55"/>
      <c r="D41" s="36"/>
    </row>
    <row r="42">
      <c r="A42" s="36"/>
      <c r="B42" s="36"/>
      <c r="C42" s="55"/>
      <c r="D42" s="36"/>
    </row>
    <row r="43">
      <c r="A43" s="36"/>
      <c r="B43" s="36"/>
      <c r="C43" s="55"/>
      <c r="D43" s="36"/>
    </row>
    <row r="44">
      <c r="A44" s="36"/>
      <c r="B44" s="36"/>
      <c r="C44" s="55"/>
      <c r="D44" s="36"/>
    </row>
    <row r="45">
      <c r="A45" s="36"/>
      <c r="B45" s="36"/>
      <c r="C45" s="55"/>
      <c r="D45" s="36"/>
    </row>
    <row r="46">
      <c r="A46" s="36"/>
      <c r="B46" s="36"/>
      <c r="C46" s="55"/>
      <c r="D46" s="36"/>
    </row>
    <row r="47">
      <c r="A47" s="36"/>
      <c r="B47" s="36"/>
      <c r="C47" s="55"/>
      <c r="D47" s="36"/>
    </row>
    <row r="48">
      <c r="A48" s="36"/>
      <c r="B48" s="36"/>
      <c r="C48" s="55"/>
      <c r="D48" s="36"/>
    </row>
    <row r="49">
      <c r="A49" s="36"/>
      <c r="B49" s="36"/>
      <c r="C49" s="55"/>
      <c r="D49" s="36"/>
    </row>
    <row r="50">
      <c r="A50" s="36"/>
      <c r="B50" s="36"/>
      <c r="C50" s="55"/>
      <c r="D50" s="36"/>
    </row>
    <row r="51">
      <c r="A51" s="36"/>
      <c r="B51" s="36"/>
      <c r="C51" s="55"/>
      <c r="D51" s="36"/>
    </row>
    <row r="52">
      <c r="A52" s="36"/>
      <c r="B52" s="36"/>
      <c r="C52" s="55"/>
      <c r="D52" s="36"/>
    </row>
    <row r="53">
      <c r="A53" s="36"/>
      <c r="B53" s="36"/>
      <c r="C53" s="55"/>
      <c r="D53" s="36"/>
    </row>
    <row r="54">
      <c r="A54" s="36"/>
      <c r="B54" s="36"/>
      <c r="C54" s="55"/>
      <c r="D54" s="36"/>
    </row>
    <row r="55">
      <c r="A55" s="36"/>
      <c r="B55" s="36"/>
      <c r="C55" s="55"/>
      <c r="D55" s="36"/>
    </row>
    <row r="56">
      <c r="A56" s="36"/>
      <c r="B56" s="36"/>
      <c r="C56" s="55"/>
      <c r="D56" s="36"/>
    </row>
    <row r="57">
      <c r="A57" s="36"/>
      <c r="B57" s="36"/>
      <c r="C57" s="55"/>
      <c r="D57" s="36"/>
    </row>
    <row r="58">
      <c r="A58" s="36"/>
      <c r="B58" s="36"/>
      <c r="C58" s="55"/>
      <c r="D58" s="36"/>
    </row>
    <row r="59">
      <c r="A59" s="36"/>
      <c r="B59" s="36"/>
      <c r="C59" s="55"/>
      <c r="D59" s="36"/>
    </row>
    <row r="60">
      <c r="A60" s="36"/>
      <c r="B60" s="36"/>
      <c r="C60" s="55"/>
      <c r="D60" s="36"/>
    </row>
    <row r="61">
      <c r="A61" s="36"/>
      <c r="B61" s="36"/>
      <c r="C61" s="55"/>
      <c r="D61" s="36"/>
    </row>
    <row r="62">
      <c r="A62" s="36"/>
      <c r="B62" s="36"/>
      <c r="C62" s="55"/>
      <c r="D62" s="36"/>
    </row>
    <row r="63">
      <c r="A63" s="36"/>
      <c r="B63" s="36"/>
      <c r="C63" s="55"/>
      <c r="D63" s="36"/>
    </row>
    <row r="64">
      <c r="A64" s="36"/>
      <c r="B64" s="36"/>
      <c r="C64" s="55"/>
      <c r="D64" s="36"/>
    </row>
    <row r="65">
      <c r="A65" s="36"/>
      <c r="B65" s="36"/>
      <c r="C65" s="55"/>
      <c r="D65" s="36"/>
    </row>
    <row r="66">
      <c r="A66" s="36"/>
      <c r="B66" s="36"/>
      <c r="C66" s="55"/>
      <c r="D66" s="36"/>
    </row>
    <row r="67">
      <c r="A67" s="36"/>
      <c r="B67" s="36"/>
      <c r="C67" s="55"/>
      <c r="D67" s="36"/>
    </row>
    <row r="68">
      <c r="A68" s="36"/>
      <c r="B68" s="36"/>
      <c r="C68" s="55"/>
      <c r="D68" s="36"/>
    </row>
    <row r="69">
      <c r="A69" s="36"/>
      <c r="B69" s="36"/>
      <c r="C69" s="55"/>
      <c r="D69" s="36"/>
    </row>
    <row r="70">
      <c r="A70" s="36"/>
      <c r="B70" s="36"/>
      <c r="C70" s="55"/>
      <c r="D70" s="36"/>
    </row>
    <row r="71">
      <c r="A71" s="36"/>
      <c r="B71" s="36"/>
      <c r="C71" s="55"/>
      <c r="D71" s="36"/>
    </row>
    <row r="72">
      <c r="A72" s="36"/>
      <c r="B72" s="36"/>
      <c r="C72" s="55"/>
      <c r="D72" s="36"/>
    </row>
    <row r="73">
      <c r="A73" s="36"/>
      <c r="B73" s="36"/>
      <c r="C73" s="55"/>
      <c r="D73" s="36"/>
    </row>
    <row r="74">
      <c r="A74" s="36"/>
      <c r="B74" s="36"/>
      <c r="C74" s="55"/>
      <c r="D74" s="36"/>
    </row>
    <row r="75">
      <c r="A75" s="36"/>
      <c r="B75" s="36"/>
      <c r="C75" s="55"/>
      <c r="D75" s="36"/>
    </row>
    <row r="76">
      <c r="A76" s="36"/>
      <c r="B76" s="36"/>
      <c r="C76" s="55"/>
      <c r="D76" s="36"/>
    </row>
    <row r="77">
      <c r="A77" s="36"/>
      <c r="B77" s="36"/>
      <c r="C77" s="55"/>
      <c r="D77" s="36"/>
    </row>
    <row r="78">
      <c r="A78" s="36"/>
      <c r="B78" s="36"/>
      <c r="C78" s="55"/>
      <c r="D78" s="36"/>
    </row>
    <row r="79">
      <c r="A79" s="36"/>
      <c r="B79" s="36"/>
      <c r="C79" s="55"/>
      <c r="D79" s="36"/>
    </row>
    <row r="80">
      <c r="A80" s="36"/>
      <c r="B80" s="36"/>
      <c r="C80" s="55"/>
      <c r="D80" s="36"/>
    </row>
    <row r="81">
      <c r="A81" s="36"/>
      <c r="B81" s="36"/>
      <c r="C81" s="55"/>
      <c r="D81" s="36"/>
    </row>
    <row r="82">
      <c r="A82" s="36"/>
      <c r="B82" s="36"/>
      <c r="C82" s="55"/>
      <c r="D82" s="36"/>
    </row>
    <row r="83">
      <c r="A83" s="36"/>
      <c r="B83" s="36"/>
      <c r="C83" s="55"/>
      <c r="D83" s="36"/>
    </row>
    <row r="84">
      <c r="A84" s="36"/>
      <c r="B84" s="36"/>
      <c r="C84" s="55"/>
      <c r="D84" s="36"/>
    </row>
    <row r="85">
      <c r="A85" s="36"/>
      <c r="B85" s="36"/>
      <c r="C85" s="55"/>
      <c r="D85" s="36"/>
    </row>
    <row r="86">
      <c r="A86" s="36"/>
      <c r="B86" s="36"/>
      <c r="C86" s="55"/>
      <c r="D86" s="36"/>
    </row>
    <row r="87">
      <c r="A87" s="36"/>
      <c r="B87" s="36"/>
      <c r="C87" s="55"/>
      <c r="D87" s="36"/>
    </row>
    <row r="88">
      <c r="A88" s="36"/>
      <c r="B88" s="36"/>
      <c r="C88" s="55"/>
      <c r="D88" s="36"/>
    </row>
    <row r="89">
      <c r="A89" s="36"/>
      <c r="B89" s="36"/>
      <c r="C89" s="55"/>
      <c r="D89" s="36"/>
    </row>
    <row r="90">
      <c r="A90" s="36"/>
      <c r="B90" s="36"/>
      <c r="C90" s="55"/>
      <c r="D90" s="36"/>
    </row>
    <row r="91">
      <c r="A91" s="36"/>
      <c r="B91" s="36"/>
      <c r="C91" s="55"/>
      <c r="D91" s="36"/>
    </row>
    <row r="92">
      <c r="A92" s="36"/>
      <c r="B92" s="36"/>
      <c r="C92" s="55"/>
      <c r="D92" s="36"/>
    </row>
    <row r="93">
      <c r="A93" s="36"/>
      <c r="B93" s="36"/>
      <c r="C93" s="55"/>
      <c r="D93" s="36"/>
    </row>
    <row r="94">
      <c r="A94" s="36"/>
      <c r="B94" s="36"/>
      <c r="C94" s="55"/>
      <c r="D94" s="36"/>
    </row>
    <row r="95">
      <c r="A95" s="36"/>
      <c r="B95" s="36"/>
      <c r="C95" s="55"/>
      <c r="D95" s="36"/>
    </row>
    <row r="96">
      <c r="A96" s="36"/>
      <c r="B96" s="36"/>
      <c r="C96" s="55"/>
      <c r="D96" s="36"/>
    </row>
    <row r="97">
      <c r="A97" s="36"/>
      <c r="B97" s="36"/>
      <c r="C97" s="55"/>
      <c r="D97" s="36"/>
    </row>
    <row r="98">
      <c r="A98" s="36"/>
      <c r="B98" s="36"/>
      <c r="C98" s="55"/>
      <c r="D98" s="36"/>
    </row>
    <row r="99">
      <c r="A99" s="36"/>
      <c r="B99" s="36"/>
      <c r="C99" s="55"/>
      <c r="D99" s="36"/>
    </row>
    <row r="100">
      <c r="A100" s="36"/>
      <c r="B100" s="36"/>
      <c r="C100" s="55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7" t="s">
        <v>13</v>
      </c>
      <c r="C4" s="17" t="s">
        <v>16</v>
      </c>
      <c r="D4" s="17" t="s">
        <v>17</v>
      </c>
      <c r="E4" s="17" t="s">
        <v>19</v>
      </c>
      <c r="F4" s="17" t="s">
        <v>22</v>
      </c>
      <c r="G4" s="17" t="s">
        <v>25</v>
      </c>
      <c r="H4" s="20" t="s">
        <v>27</v>
      </c>
    </row>
    <row r="5">
      <c r="B5" s="23">
        <v>55.8</v>
      </c>
      <c r="C5" s="27">
        <v>0.11</v>
      </c>
      <c r="D5" s="23" t="s">
        <v>29</v>
      </c>
      <c r="E5" s="23" t="s">
        <v>31</v>
      </c>
      <c r="F5" s="30">
        <v>391560.0</v>
      </c>
      <c r="G5" s="31">
        <v>46010.0</v>
      </c>
      <c r="H5" s="12">
        <f t="shared" ref="H5:H9" si="1">IF(OR(ISBLANK(F5), ISBLANK(G5), ISBLANK(C5)), 0, F5 * C5 * (TODAY() - G5) / 365)</f>
        <v>25842.96</v>
      </c>
    </row>
    <row r="6">
      <c r="B6" s="23">
        <v>30.0</v>
      </c>
      <c r="C6" s="27">
        <v>0.1</v>
      </c>
      <c r="D6" s="23" t="s">
        <v>29</v>
      </c>
      <c r="E6" s="23" t="s">
        <v>54</v>
      </c>
      <c r="F6" s="30">
        <v>229500.0</v>
      </c>
      <c r="G6" s="31">
        <v>45966.0</v>
      </c>
      <c r="H6" s="12">
        <f t="shared" si="1"/>
        <v>16536.57534</v>
      </c>
    </row>
    <row r="7">
      <c r="B7" s="23">
        <v>36.9</v>
      </c>
      <c r="C7" s="27">
        <v>0.105</v>
      </c>
      <c r="D7" s="23" t="s">
        <v>29</v>
      </c>
      <c r="E7" s="23" t="s">
        <v>65</v>
      </c>
      <c r="F7" s="30">
        <v>300000.0</v>
      </c>
      <c r="G7" s="31">
        <v>46169.0</v>
      </c>
      <c r="H7" s="12">
        <f t="shared" si="1"/>
        <v>5178.082192</v>
      </c>
    </row>
    <row r="8">
      <c r="B8" s="23">
        <v>15.0</v>
      </c>
      <c r="C8" s="47"/>
      <c r="D8" s="23" t="s">
        <v>29</v>
      </c>
      <c r="E8" s="23" t="s">
        <v>65</v>
      </c>
      <c r="F8" s="30">
        <v>135000.0</v>
      </c>
      <c r="G8" s="31">
        <v>46178.0</v>
      </c>
      <c r="H8" s="12">
        <f t="shared" si="1"/>
        <v>0</v>
      </c>
    </row>
    <row r="9">
      <c r="B9" s="49"/>
      <c r="C9" s="47"/>
      <c r="D9" s="23" t="s">
        <v>29</v>
      </c>
      <c r="E9" s="23" t="s">
        <v>90</v>
      </c>
      <c r="F9" s="30">
        <v>297698.0</v>
      </c>
      <c r="G9" s="31">
        <v>46035.0</v>
      </c>
      <c r="H9" s="12">
        <f t="shared" si="1"/>
        <v>0</v>
      </c>
    </row>
    <row r="10">
      <c r="B10" s="49"/>
      <c r="C10" s="47"/>
      <c r="D10" s="49"/>
      <c r="E10" s="49"/>
      <c r="F10" s="52"/>
      <c r="G10" s="54"/>
      <c r="H10" s="12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4"/>
      <c r="H11" s="12" t="str">
        <f t="shared" si="2"/>
        <v/>
      </c>
    </row>
    <row r="12">
      <c r="B12" s="49"/>
      <c r="C12" s="47"/>
      <c r="D12" s="49"/>
      <c r="E12" s="49"/>
      <c r="F12" s="52"/>
      <c r="G12" s="54"/>
      <c r="H12" s="12" t="str">
        <f t="shared" si="2"/>
        <v/>
      </c>
    </row>
    <row r="13">
      <c r="B13" s="49"/>
      <c r="C13" s="47"/>
      <c r="D13" s="49"/>
      <c r="E13" s="49"/>
      <c r="F13" s="52"/>
      <c r="G13" s="54"/>
      <c r="H13" s="12" t="str">
        <f t="shared" si="2"/>
        <v/>
      </c>
    </row>
    <row r="14">
      <c r="B14" s="49"/>
      <c r="C14" s="47"/>
      <c r="D14" s="49"/>
      <c r="E14" s="49"/>
      <c r="F14" s="52"/>
      <c r="G14" s="54"/>
      <c r="H14" s="12" t="str">
        <f t="shared" si="2"/>
        <v/>
      </c>
    </row>
    <row r="15">
      <c r="B15" s="49"/>
      <c r="C15" s="47"/>
      <c r="D15" s="49"/>
      <c r="E15" s="49"/>
      <c r="F15" s="52"/>
      <c r="G15" s="54"/>
      <c r="H15" s="12" t="str">
        <f t="shared" si="2"/>
        <v/>
      </c>
    </row>
    <row r="16">
      <c r="B16" s="49"/>
      <c r="C16" s="47"/>
      <c r="D16" s="49"/>
      <c r="E16" s="49"/>
      <c r="F16" s="52"/>
      <c r="G16" s="54"/>
      <c r="H16" s="12" t="str">
        <f t="shared" si="2"/>
        <v/>
      </c>
    </row>
    <row r="17">
      <c r="B17" s="49"/>
      <c r="C17" s="47"/>
      <c r="D17" s="49"/>
      <c r="E17" s="49"/>
      <c r="F17" s="52"/>
      <c r="G17" s="54"/>
      <c r="H17" s="12" t="str">
        <f t="shared" si="2"/>
        <v/>
      </c>
    </row>
    <row r="18">
      <c r="B18" s="49"/>
      <c r="C18" s="47"/>
      <c r="D18" s="49"/>
      <c r="E18" s="49"/>
      <c r="F18" s="52"/>
      <c r="G18" s="54"/>
      <c r="H18" s="12" t="str">
        <f t="shared" si="2"/>
        <v/>
      </c>
    </row>
    <row r="19">
      <c r="B19" s="49"/>
      <c r="C19" s="47"/>
      <c r="D19" s="49"/>
      <c r="E19" s="49"/>
      <c r="F19" s="52"/>
      <c r="G19" s="54"/>
      <c r="H19" s="12" t="str">
        <f t="shared" si="2"/>
        <v/>
      </c>
    </row>
    <row r="20">
      <c r="B20" s="49"/>
      <c r="C20" s="47"/>
      <c r="D20" s="49"/>
      <c r="E20" s="49"/>
      <c r="F20" s="52"/>
      <c r="G20" s="54"/>
      <c r="H20" s="12" t="str">
        <f t="shared" si="2"/>
        <v/>
      </c>
    </row>
    <row r="21">
      <c r="B21" s="49"/>
      <c r="C21" s="47"/>
      <c r="D21" s="49"/>
      <c r="E21" s="49"/>
      <c r="F21" s="52"/>
      <c r="G21" s="54"/>
      <c r="H21" s="12" t="str">
        <f t="shared" si="2"/>
        <v/>
      </c>
    </row>
    <row r="22">
      <c r="B22" s="49"/>
      <c r="C22" s="47"/>
      <c r="D22" s="49"/>
      <c r="E22" s="49"/>
      <c r="F22" s="52"/>
      <c r="G22" s="54"/>
      <c r="H22" s="12" t="str">
        <f t="shared" si="2"/>
        <v/>
      </c>
    </row>
    <row r="23">
      <c r="B23" s="49"/>
      <c r="C23" s="47"/>
      <c r="D23" s="49"/>
      <c r="E23" s="49"/>
      <c r="F23" s="52"/>
      <c r="G23" s="54"/>
      <c r="H23" s="12" t="str">
        <f t="shared" si="2"/>
        <v/>
      </c>
    </row>
    <row r="24">
      <c r="B24" s="49"/>
      <c r="C24" s="47"/>
      <c r="D24" s="49"/>
      <c r="E24" s="49"/>
      <c r="F24" s="52"/>
      <c r="G24" s="54"/>
      <c r="H24" s="12" t="str">
        <f t="shared" si="2"/>
        <v/>
      </c>
    </row>
    <row r="25">
      <c r="B25" s="49"/>
      <c r="C25" s="47"/>
      <c r="D25" s="49"/>
      <c r="E25" s="49"/>
      <c r="F25" s="52"/>
      <c r="G25" s="54"/>
      <c r="H25" s="12" t="str">
        <f t="shared" si="2"/>
        <v/>
      </c>
    </row>
    <row r="26">
      <c r="B26" s="49"/>
      <c r="C26" s="47"/>
      <c r="D26" s="49"/>
      <c r="E26" s="49"/>
      <c r="F26" s="52"/>
      <c r="G26" s="54"/>
      <c r="H26" s="12" t="str">
        <f t="shared" si="2"/>
        <v/>
      </c>
    </row>
    <row r="27">
      <c r="B27" s="49"/>
      <c r="C27" s="47"/>
      <c r="D27" s="49"/>
      <c r="E27" s="49"/>
      <c r="F27" s="52"/>
      <c r="G27" s="54"/>
      <c r="H27" s="12" t="str">
        <f t="shared" si="2"/>
        <v/>
      </c>
    </row>
    <row r="28">
      <c r="B28" s="49"/>
      <c r="C28" s="47"/>
      <c r="D28" s="49"/>
      <c r="E28" s="49"/>
      <c r="F28" s="52"/>
      <c r="G28" s="54"/>
      <c r="H28" s="12" t="str">
        <f t="shared" si="2"/>
        <v/>
      </c>
    </row>
    <row r="29">
      <c r="B29" s="49"/>
      <c r="C29" s="47"/>
      <c r="D29" s="49"/>
      <c r="E29" s="49"/>
      <c r="F29" s="52"/>
      <c r="G29" s="54"/>
      <c r="H29" s="12" t="str">
        <f t="shared" si="2"/>
        <v/>
      </c>
    </row>
    <row r="30">
      <c r="B30" s="49"/>
      <c r="C30" s="47"/>
      <c r="D30" s="49"/>
      <c r="E30" s="49"/>
      <c r="F30" s="52"/>
      <c r="G30" s="54"/>
      <c r="H30" s="12" t="str">
        <f t="shared" si="2"/>
        <v/>
      </c>
    </row>
    <row r="31">
      <c r="B31" s="49"/>
      <c r="C31" s="47"/>
      <c r="D31" s="49"/>
      <c r="E31" s="49"/>
      <c r="F31" s="52"/>
      <c r="G31" s="54"/>
      <c r="H31" s="12" t="str">
        <f t="shared" si="2"/>
        <v/>
      </c>
    </row>
    <row r="32">
      <c r="B32" s="49"/>
      <c r="C32" s="47"/>
      <c r="D32" s="49"/>
      <c r="E32" s="49"/>
      <c r="F32" s="52"/>
      <c r="G32" s="54"/>
      <c r="H32" s="12" t="str">
        <f t="shared" si="2"/>
        <v/>
      </c>
    </row>
    <row r="33">
      <c r="B33" s="49"/>
      <c r="C33" s="47"/>
      <c r="D33" s="49"/>
      <c r="E33" s="49"/>
      <c r="F33" s="52"/>
      <c r="G33" s="54"/>
      <c r="H33" s="12" t="str">
        <f t="shared" si="2"/>
        <v/>
      </c>
    </row>
    <row r="34">
      <c r="B34" s="49"/>
      <c r="C34" s="47"/>
      <c r="D34" s="49"/>
      <c r="E34" s="49"/>
      <c r="F34" s="52"/>
      <c r="G34" s="54"/>
      <c r="H34" s="12" t="str">
        <f t="shared" si="2"/>
        <v/>
      </c>
    </row>
    <row r="35">
      <c r="B35" s="49"/>
      <c r="C35" s="47"/>
      <c r="D35" s="49"/>
      <c r="E35" s="49"/>
      <c r="F35" s="52"/>
      <c r="G35" s="54"/>
      <c r="H35" s="12" t="str">
        <f t="shared" si="2"/>
        <v/>
      </c>
    </row>
    <row r="36">
      <c r="B36" s="49"/>
      <c r="C36" s="47"/>
      <c r="D36" s="49"/>
      <c r="E36" s="49"/>
      <c r="F36" s="52"/>
      <c r="G36" s="54"/>
      <c r="H36" s="12" t="str">
        <f t="shared" si="2"/>
        <v/>
      </c>
    </row>
    <row r="37">
      <c r="B37" s="49"/>
      <c r="C37" s="47"/>
      <c r="D37" s="49"/>
      <c r="E37" s="49"/>
      <c r="F37" s="52"/>
      <c r="G37" s="54"/>
      <c r="H37" s="12" t="str">
        <f t="shared" si="2"/>
        <v/>
      </c>
    </row>
    <row r="38">
      <c r="B38" s="49"/>
      <c r="C38" s="47"/>
      <c r="D38" s="49"/>
      <c r="E38" s="49"/>
      <c r="F38" s="52"/>
      <c r="G38" s="54"/>
      <c r="H38" s="12" t="str">
        <f t="shared" si="2"/>
        <v/>
      </c>
    </row>
    <row r="39">
      <c r="B39" s="49"/>
      <c r="C39" s="47"/>
      <c r="D39" s="49"/>
      <c r="E39" s="49"/>
      <c r="F39" s="52"/>
      <c r="G39" s="54"/>
      <c r="H39" s="12" t="str">
        <f t="shared" si="2"/>
        <v/>
      </c>
    </row>
    <row r="40">
      <c r="B40" s="49"/>
      <c r="C40" s="47"/>
      <c r="D40" s="49"/>
      <c r="E40" s="49"/>
      <c r="F40" s="52"/>
      <c r="G40" s="54"/>
      <c r="H40" s="12" t="str">
        <f t="shared" si="2"/>
        <v/>
      </c>
    </row>
    <row r="41">
      <c r="B41" s="49"/>
      <c r="C41" s="47"/>
      <c r="D41" s="49"/>
      <c r="E41" s="49"/>
      <c r="F41" s="52"/>
      <c r="G41" s="54"/>
      <c r="H41" s="12" t="str">
        <f t="shared" si="2"/>
        <v/>
      </c>
    </row>
    <row r="42">
      <c r="B42" s="49"/>
      <c r="C42" s="47"/>
      <c r="D42" s="49"/>
      <c r="E42" s="49"/>
      <c r="F42" s="52"/>
      <c r="G42" s="54"/>
      <c r="H42" s="12" t="str">
        <f t="shared" si="2"/>
        <v/>
      </c>
    </row>
    <row r="43">
      <c r="B43" s="49"/>
      <c r="C43" s="47"/>
      <c r="D43" s="49"/>
      <c r="E43" s="49"/>
      <c r="F43" s="52"/>
      <c r="G43" s="54"/>
      <c r="H43" s="12" t="str">
        <f t="shared" si="2"/>
        <v/>
      </c>
    </row>
    <row r="44">
      <c r="B44" s="49"/>
      <c r="C44" s="47"/>
      <c r="D44" s="49"/>
      <c r="E44" s="49"/>
      <c r="F44" s="52"/>
      <c r="G44" s="54"/>
      <c r="H44" s="12" t="str">
        <f t="shared" si="2"/>
        <v/>
      </c>
    </row>
    <row r="45">
      <c r="B45" s="49"/>
      <c r="C45" s="47"/>
      <c r="D45" s="49"/>
      <c r="E45" s="49"/>
      <c r="F45" s="52"/>
      <c r="G45" s="54"/>
      <c r="H45" s="12" t="str">
        <f t="shared" si="2"/>
        <v/>
      </c>
    </row>
    <row r="46">
      <c r="B46" s="49"/>
      <c r="C46" s="47"/>
      <c r="D46" s="49"/>
      <c r="E46" s="49"/>
      <c r="F46" s="52"/>
      <c r="G46" s="54"/>
      <c r="H46" s="12" t="str">
        <f t="shared" si="2"/>
        <v/>
      </c>
    </row>
    <row r="47">
      <c r="B47" s="49"/>
      <c r="C47" s="47"/>
      <c r="D47" s="49"/>
      <c r="E47" s="49"/>
      <c r="F47" s="52"/>
      <c r="G47" s="54"/>
      <c r="H47" s="12" t="str">
        <f t="shared" si="2"/>
        <v/>
      </c>
    </row>
    <row r="48">
      <c r="B48" s="49"/>
      <c r="C48" s="47"/>
      <c r="D48" s="49"/>
      <c r="E48" s="49"/>
      <c r="F48" s="52"/>
      <c r="G48" s="54"/>
      <c r="H48" s="12" t="str">
        <f t="shared" si="2"/>
        <v/>
      </c>
    </row>
    <row r="49">
      <c r="B49" s="49"/>
      <c r="C49" s="47"/>
      <c r="D49" s="49"/>
      <c r="E49" s="49"/>
      <c r="F49" s="52"/>
      <c r="G49" s="54"/>
      <c r="H49" s="12" t="str">
        <f t="shared" si="2"/>
        <v/>
      </c>
    </row>
    <row r="50">
      <c r="B50" s="49"/>
      <c r="C50" s="47"/>
      <c r="D50" s="49"/>
      <c r="E50" s="49"/>
      <c r="F50" s="52"/>
      <c r="G50" s="54"/>
      <c r="H50" s="12" t="str">
        <f t="shared" si="2"/>
        <v/>
      </c>
    </row>
    <row r="51">
      <c r="B51" s="49"/>
      <c r="C51" s="47"/>
      <c r="D51" s="49"/>
      <c r="E51" s="49"/>
      <c r="F51" s="52"/>
      <c r="G51" s="54"/>
      <c r="H51" s="12" t="str">
        <f t="shared" si="2"/>
        <v/>
      </c>
    </row>
    <row r="52">
      <c r="B52" s="49"/>
      <c r="C52" s="47"/>
      <c r="D52" s="49"/>
      <c r="E52" s="49"/>
      <c r="F52" s="52"/>
      <c r="G52" s="54"/>
      <c r="H52" s="12" t="str">
        <f t="shared" si="2"/>
        <v/>
      </c>
    </row>
    <row r="53">
      <c r="B53" s="49"/>
      <c r="C53" s="47"/>
      <c r="D53" s="49"/>
      <c r="E53" s="49"/>
      <c r="F53" s="52"/>
      <c r="G53" s="54"/>
      <c r="H53" s="12" t="str">
        <f t="shared" si="2"/>
        <v/>
      </c>
    </row>
    <row r="54">
      <c r="B54" s="49"/>
      <c r="C54" s="47"/>
      <c r="D54" s="49"/>
      <c r="E54" s="49"/>
      <c r="F54" s="52"/>
      <c r="G54" s="54"/>
      <c r="H54" s="12" t="str">
        <f t="shared" si="2"/>
        <v/>
      </c>
    </row>
    <row r="55">
      <c r="B55" s="49"/>
      <c r="C55" s="47"/>
      <c r="D55" s="49"/>
      <c r="E55" s="49"/>
      <c r="F55" s="52"/>
      <c r="G55" s="54"/>
      <c r="H55" s="12" t="str">
        <f t="shared" si="2"/>
        <v/>
      </c>
    </row>
    <row r="56">
      <c r="B56" s="49"/>
      <c r="C56" s="47"/>
      <c r="D56" s="49"/>
      <c r="E56" s="49"/>
      <c r="F56" s="52"/>
      <c r="G56" s="54"/>
      <c r="H56" s="12" t="str">
        <f t="shared" si="2"/>
        <v/>
      </c>
    </row>
    <row r="57">
      <c r="B57" s="49"/>
      <c r="C57" s="47"/>
      <c r="D57" s="49"/>
      <c r="E57" s="49"/>
      <c r="F57" s="52"/>
      <c r="G57" s="54"/>
      <c r="H57" s="12" t="str">
        <f t="shared" si="2"/>
        <v/>
      </c>
    </row>
    <row r="58">
      <c r="B58" s="49"/>
      <c r="C58" s="47"/>
      <c r="D58" s="49"/>
      <c r="E58" s="49"/>
      <c r="F58" s="52"/>
      <c r="G58" s="54"/>
      <c r="H58" s="12" t="str">
        <f t="shared" si="2"/>
        <v/>
      </c>
    </row>
    <row r="59">
      <c r="B59" s="49"/>
      <c r="C59" s="47"/>
      <c r="D59" s="49"/>
      <c r="E59" s="49"/>
      <c r="F59" s="52"/>
      <c r="G59" s="54"/>
      <c r="H59" s="12" t="str">
        <f t="shared" si="2"/>
        <v/>
      </c>
    </row>
    <row r="60">
      <c r="B60" s="49"/>
      <c r="C60" s="47"/>
      <c r="D60" s="49"/>
      <c r="E60" s="49"/>
      <c r="F60" s="52"/>
      <c r="G60" s="54"/>
      <c r="H60" s="12" t="str">
        <f t="shared" si="2"/>
        <v/>
      </c>
    </row>
    <row r="61">
      <c r="B61" s="49"/>
      <c r="C61" s="47"/>
      <c r="D61" s="49"/>
      <c r="E61" s="49"/>
      <c r="F61" s="52"/>
      <c r="G61" s="54"/>
      <c r="H61" s="12" t="str">
        <f t="shared" si="2"/>
        <v/>
      </c>
    </row>
    <row r="62">
      <c r="B62" s="49"/>
      <c r="C62" s="47"/>
      <c r="D62" s="49"/>
      <c r="E62" s="49"/>
      <c r="F62" s="52"/>
      <c r="G62" s="54"/>
      <c r="H62" s="12" t="str">
        <f t="shared" si="2"/>
        <v/>
      </c>
    </row>
    <row r="63">
      <c r="B63" s="49"/>
      <c r="C63" s="47"/>
      <c r="D63" s="49"/>
      <c r="E63" s="49"/>
      <c r="F63" s="52"/>
      <c r="G63" s="54"/>
      <c r="H63" s="12" t="str">
        <f t="shared" si="2"/>
        <v/>
      </c>
    </row>
    <row r="64">
      <c r="B64" s="49"/>
      <c r="C64" s="47"/>
      <c r="D64" s="49"/>
      <c r="E64" s="49"/>
      <c r="F64" s="52"/>
      <c r="G64" s="54"/>
      <c r="H64" s="12" t="str">
        <f t="shared" si="2"/>
        <v/>
      </c>
    </row>
    <row r="65">
      <c r="B65" s="49"/>
      <c r="C65" s="47"/>
      <c r="D65" s="49"/>
      <c r="E65" s="49"/>
      <c r="F65" s="52"/>
      <c r="G65" s="54"/>
      <c r="H65" s="12" t="str">
        <f t="shared" si="2"/>
        <v/>
      </c>
    </row>
    <row r="66">
      <c r="B66" s="49"/>
      <c r="C66" s="47"/>
      <c r="D66" s="49"/>
      <c r="E66" s="49"/>
      <c r="F66" s="52"/>
      <c r="G66" s="54"/>
      <c r="H66" s="12" t="str">
        <f t="shared" si="2"/>
        <v/>
      </c>
    </row>
    <row r="67">
      <c r="B67" s="49"/>
      <c r="C67" s="47"/>
      <c r="D67" s="49"/>
      <c r="E67" s="49"/>
      <c r="F67" s="52"/>
      <c r="G67" s="54"/>
      <c r="H67" s="12" t="str">
        <f t="shared" si="2"/>
        <v/>
      </c>
    </row>
    <row r="68">
      <c r="B68" s="49"/>
      <c r="C68" s="47"/>
      <c r="D68" s="49"/>
      <c r="E68" s="49"/>
      <c r="F68" s="52"/>
      <c r="G68" s="54"/>
      <c r="H68" s="12" t="str">
        <f t="shared" si="2"/>
        <v/>
      </c>
    </row>
    <row r="69">
      <c r="B69" s="49"/>
      <c r="C69" s="47"/>
      <c r="D69" s="49"/>
      <c r="E69" s="49"/>
      <c r="F69" s="52"/>
      <c r="G69" s="54"/>
      <c r="H69" s="12" t="str">
        <f t="shared" si="2"/>
        <v/>
      </c>
    </row>
    <row r="70">
      <c r="B70" s="49"/>
      <c r="C70" s="47"/>
      <c r="D70" s="49"/>
      <c r="E70" s="49"/>
      <c r="F70" s="52"/>
      <c r="G70" s="54"/>
      <c r="H70" s="12" t="str">
        <f t="shared" si="2"/>
        <v/>
      </c>
    </row>
    <row r="71">
      <c r="B71" s="49"/>
      <c r="C71" s="47"/>
      <c r="D71" s="49"/>
      <c r="E71" s="49"/>
      <c r="F71" s="52"/>
      <c r="G71" s="54"/>
      <c r="H71" s="12" t="str">
        <f t="shared" si="2"/>
        <v/>
      </c>
    </row>
    <row r="72">
      <c r="B72" s="49"/>
      <c r="C72" s="47"/>
      <c r="D72" s="49"/>
      <c r="E72" s="49"/>
      <c r="F72" s="52"/>
      <c r="G72" s="54"/>
      <c r="H72" s="12" t="str">
        <f t="shared" si="2"/>
        <v/>
      </c>
    </row>
    <row r="73">
      <c r="B73" s="49"/>
      <c r="C73" s="47"/>
      <c r="D73" s="49"/>
      <c r="E73" s="49"/>
      <c r="F73" s="52"/>
      <c r="G73" s="54"/>
      <c r="H73" s="12" t="str">
        <f t="shared" si="2"/>
        <v/>
      </c>
    </row>
    <row r="74">
      <c r="B74" s="49"/>
      <c r="C74" s="47"/>
      <c r="D74" s="49"/>
      <c r="E74" s="49"/>
      <c r="F74" s="52"/>
      <c r="G74" s="54"/>
      <c r="H74" s="12" t="str">
        <f t="shared" si="2"/>
        <v/>
      </c>
    </row>
    <row r="75">
      <c r="B75" s="49"/>
      <c r="C75" s="47"/>
      <c r="D75" s="49"/>
      <c r="E75" s="49"/>
      <c r="F75" s="52"/>
      <c r="G75" s="54"/>
      <c r="H75" s="12" t="str">
        <f t="shared" si="2"/>
        <v/>
      </c>
    </row>
    <row r="76">
      <c r="B76" s="49"/>
      <c r="C76" s="47"/>
      <c r="D76" s="49"/>
      <c r="E76" s="49"/>
      <c r="F76" s="52"/>
      <c r="G76" s="54"/>
      <c r="H76" s="12" t="str">
        <f t="shared" si="2"/>
        <v/>
      </c>
    </row>
    <row r="77">
      <c r="B77" s="49"/>
      <c r="C77" s="47"/>
      <c r="D77" s="49"/>
      <c r="E77" s="49"/>
      <c r="F77" s="52"/>
      <c r="G77" s="54"/>
      <c r="H77" s="12" t="str">
        <f t="shared" si="2"/>
        <v/>
      </c>
    </row>
    <row r="78">
      <c r="B78" s="49"/>
      <c r="C78" s="47"/>
      <c r="D78" s="49"/>
      <c r="E78" s="49"/>
      <c r="F78" s="52"/>
      <c r="G78" s="54"/>
      <c r="H78" s="12" t="str">
        <f t="shared" si="2"/>
        <v/>
      </c>
    </row>
    <row r="79">
      <c r="B79" s="49"/>
      <c r="C79" s="47"/>
      <c r="D79" s="49"/>
      <c r="E79" s="49"/>
      <c r="F79" s="52"/>
      <c r="G79" s="54"/>
      <c r="H79" s="12" t="str">
        <f t="shared" si="2"/>
        <v/>
      </c>
    </row>
    <row r="80">
      <c r="B80" s="49"/>
      <c r="C80" s="47"/>
      <c r="D80" s="49"/>
      <c r="E80" s="49"/>
      <c r="F80" s="52"/>
      <c r="G80" s="54"/>
      <c r="H80" s="12" t="str">
        <f t="shared" si="2"/>
        <v/>
      </c>
    </row>
    <row r="81">
      <c r="B81" s="49"/>
      <c r="C81" s="47"/>
      <c r="D81" s="49"/>
      <c r="E81" s="49"/>
      <c r="F81" s="52"/>
      <c r="G81" s="54"/>
      <c r="H81" s="12" t="str">
        <f t="shared" si="2"/>
        <v/>
      </c>
    </row>
    <row r="82">
      <c r="B82" s="49"/>
      <c r="C82" s="47"/>
      <c r="D82" s="49"/>
      <c r="E82" s="49"/>
      <c r="F82" s="52"/>
      <c r="G82" s="54"/>
      <c r="H82" s="12" t="str">
        <f t="shared" si="2"/>
        <v/>
      </c>
    </row>
    <row r="83">
      <c r="B83" s="49"/>
      <c r="C83" s="47"/>
      <c r="D83" s="49"/>
      <c r="E83" s="49"/>
      <c r="F83" s="52"/>
      <c r="G83" s="54"/>
      <c r="H83" s="12" t="str">
        <f t="shared" si="2"/>
        <v/>
      </c>
    </row>
    <row r="84">
      <c r="B84" s="49"/>
      <c r="C84" s="47"/>
      <c r="D84" s="49"/>
      <c r="E84" s="49"/>
      <c r="F84" s="52"/>
      <c r="G84" s="54"/>
      <c r="H84" s="12" t="str">
        <f t="shared" si="2"/>
        <v/>
      </c>
    </row>
    <row r="85">
      <c r="B85" s="49"/>
      <c r="C85" s="47"/>
      <c r="D85" s="49"/>
      <c r="E85" s="49"/>
      <c r="F85" s="52"/>
      <c r="G85" s="54"/>
      <c r="H85" s="12" t="str">
        <f t="shared" si="2"/>
        <v/>
      </c>
    </row>
    <row r="86">
      <c r="B86" s="49"/>
      <c r="C86" s="47"/>
      <c r="D86" s="49"/>
      <c r="E86" s="49"/>
      <c r="F86" s="52"/>
      <c r="G86" s="54"/>
      <c r="H86" s="12" t="str">
        <f t="shared" si="2"/>
        <v/>
      </c>
    </row>
    <row r="87">
      <c r="B87" s="49"/>
      <c r="C87" s="47"/>
      <c r="D87" s="49"/>
      <c r="E87" s="49"/>
      <c r="F87" s="52"/>
      <c r="G87" s="54"/>
      <c r="H87" s="12" t="str">
        <f t="shared" si="2"/>
        <v/>
      </c>
    </row>
    <row r="88">
      <c r="B88" s="49"/>
      <c r="C88" s="47"/>
      <c r="D88" s="49"/>
      <c r="E88" s="49"/>
      <c r="F88" s="52"/>
      <c r="G88" s="54"/>
      <c r="H88" s="12" t="str">
        <f t="shared" si="2"/>
        <v/>
      </c>
    </row>
    <row r="89">
      <c r="B89" s="49"/>
      <c r="C89" s="47"/>
      <c r="D89" s="49"/>
      <c r="E89" s="49"/>
      <c r="F89" s="52"/>
      <c r="G89" s="54"/>
      <c r="H89" s="12" t="str">
        <f t="shared" si="2"/>
        <v/>
      </c>
    </row>
    <row r="90">
      <c r="B90" s="49"/>
      <c r="C90" s="47"/>
      <c r="D90" s="49"/>
      <c r="E90" s="49"/>
      <c r="F90" s="52"/>
      <c r="G90" s="54"/>
      <c r="H90" s="12" t="str">
        <f t="shared" si="2"/>
        <v/>
      </c>
    </row>
    <row r="91">
      <c r="B91" s="49"/>
      <c r="C91" s="47"/>
      <c r="D91" s="49"/>
      <c r="E91" s="49"/>
      <c r="F91" s="52"/>
      <c r="G91" s="54"/>
      <c r="H91" s="12" t="str">
        <f t="shared" si="2"/>
        <v/>
      </c>
    </row>
    <row r="92">
      <c r="B92" s="49"/>
      <c r="C92" s="47"/>
      <c r="D92" s="49"/>
      <c r="E92" s="49"/>
      <c r="F92" s="52"/>
      <c r="G92" s="54"/>
      <c r="H92" s="12" t="str">
        <f t="shared" si="2"/>
        <v/>
      </c>
    </row>
    <row r="93">
      <c r="B93" s="49"/>
      <c r="C93" s="47"/>
      <c r="D93" s="49"/>
      <c r="E93" s="49"/>
      <c r="F93" s="52"/>
      <c r="G93" s="54"/>
      <c r="H93" s="12" t="str">
        <f t="shared" si="2"/>
        <v/>
      </c>
    </row>
    <row r="94">
      <c r="B94" s="49"/>
      <c r="C94" s="47"/>
      <c r="D94" s="49"/>
      <c r="E94" s="49"/>
      <c r="F94" s="52"/>
      <c r="G94" s="54"/>
      <c r="H94" s="12" t="str">
        <f t="shared" si="2"/>
        <v/>
      </c>
    </row>
    <row r="95">
      <c r="B95" s="49"/>
      <c r="C95" s="47"/>
      <c r="D95" s="49"/>
      <c r="E95" s="49"/>
      <c r="F95" s="52"/>
      <c r="G95" s="54"/>
      <c r="H95" s="12" t="str">
        <f t="shared" si="2"/>
        <v/>
      </c>
    </row>
    <row r="96">
      <c r="B96" s="49"/>
      <c r="C96" s="47"/>
      <c r="D96" s="49"/>
      <c r="E96" s="49"/>
      <c r="F96" s="52"/>
      <c r="G96" s="54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5"/>
      <c r="D1" s="33"/>
    </row>
    <row r="2" ht="15.75" customHeight="1">
      <c r="B2" s="101" t="s">
        <v>144</v>
      </c>
      <c r="C2" s="25"/>
      <c r="D2" s="33"/>
    </row>
    <row r="3" ht="7.5" customHeight="1"/>
    <row r="4" ht="66.75" customHeight="1">
      <c r="B4" s="106" t="s">
        <v>149</v>
      </c>
      <c r="C4" s="108" t="s">
        <v>165</v>
      </c>
      <c r="D4" s="111" t="s">
        <v>168</v>
      </c>
    </row>
    <row r="5" ht="48.75" customHeight="1">
      <c r="B5" s="106" t="s">
        <v>180</v>
      </c>
      <c r="C5" s="108" t="s">
        <v>181</v>
      </c>
      <c r="D5" s="111" t="s">
        <v>184</v>
      </c>
    </row>
    <row r="6" ht="54.75" customHeight="1">
      <c r="B6" s="106" t="s">
        <v>186</v>
      </c>
      <c r="C6" s="108" t="s">
        <v>187</v>
      </c>
      <c r="D6" s="111" t="s">
        <v>188</v>
      </c>
    </row>
    <row r="7" ht="31.5" customHeight="1">
      <c r="B7" s="106" t="s">
        <v>190</v>
      </c>
      <c r="C7" s="108" t="s">
        <v>192</v>
      </c>
      <c r="D7" s="111" t="s">
        <v>194</v>
      </c>
    </row>
    <row r="8" ht="75.75" customHeight="1">
      <c r="B8" s="118" t="s">
        <v>195</v>
      </c>
      <c r="C8" s="119" t="s">
        <v>197</v>
      </c>
      <c r="D8" s="111" t="s">
        <v>200</v>
      </c>
    </row>
    <row r="9" ht="42.0" customHeight="1">
      <c r="B9" s="118" t="s">
        <v>201</v>
      </c>
      <c r="C9" s="119" t="s">
        <v>203</v>
      </c>
      <c r="D9" s="111" t="s">
        <v>204</v>
      </c>
    </row>
    <row r="10" ht="64.5" customHeight="1">
      <c r="B10" s="121" t="s">
        <v>205</v>
      </c>
      <c r="C10" s="122" t="s">
        <v>206</v>
      </c>
      <c r="D10" s="111" t="s">
        <v>207</v>
      </c>
    </row>
    <row r="11" ht="60.0" customHeight="1">
      <c r="B11" s="121" t="s">
        <v>208</v>
      </c>
      <c r="C11" s="122" t="s">
        <v>209</v>
      </c>
      <c r="D11" s="111" t="s">
        <v>210</v>
      </c>
    </row>
    <row r="12" ht="82.5" customHeight="1">
      <c r="B12" s="124" t="s">
        <v>211</v>
      </c>
      <c r="C12" s="125" t="s">
        <v>214</v>
      </c>
      <c r="D12" s="111" t="s">
        <v>215</v>
      </c>
    </row>
    <row r="13" ht="67.5" customHeight="1">
      <c r="B13" s="124" t="s">
        <v>217</v>
      </c>
      <c r="C13" s="125" t="s">
        <v>220</v>
      </c>
      <c r="D13" s="111" t="s">
        <v>222</v>
      </c>
    </row>
    <row r="14" ht="81.75" customHeight="1">
      <c r="B14" s="126" t="s">
        <v>224</v>
      </c>
      <c r="C14" s="128" t="s">
        <v>227</v>
      </c>
      <c r="D14" s="111" t="s">
        <v>228</v>
      </c>
    </row>
    <row r="15" ht="72.0" customHeight="1">
      <c r="B15" s="131" t="s">
        <v>229</v>
      </c>
      <c r="C15" s="132" t="s">
        <v>230</v>
      </c>
      <c r="D15" s="111" t="s">
        <v>231</v>
      </c>
    </row>
    <row r="16" ht="61.5" customHeight="1">
      <c r="B16" s="121" t="s">
        <v>232</v>
      </c>
      <c r="C16" s="122" t="s">
        <v>233</v>
      </c>
      <c r="D16" s="111" t="s">
        <v>234</v>
      </c>
    </row>
    <row r="17" ht="67.5" customHeight="1">
      <c r="B17" s="131" t="s">
        <v>235</v>
      </c>
      <c r="C17" s="132" t="s">
        <v>236</v>
      </c>
      <c r="D17" s="111" t="s">
        <v>237</v>
      </c>
    </row>
    <row r="18" ht="66.75" customHeight="1">
      <c r="B18" s="124" t="s">
        <v>238</v>
      </c>
      <c r="C18" s="125" t="s">
        <v>239</v>
      </c>
      <c r="D18" s="111" t="s">
        <v>240</v>
      </c>
    </row>
    <row r="20" ht="19.5" customHeight="1">
      <c r="B20" s="134" t="s">
        <v>241</v>
      </c>
      <c r="C20" s="25"/>
      <c r="D20" s="33"/>
    </row>
    <row r="21" ht="18.0" customHeight="1">
      <c r="B21" s="135" t="s">
        <v>7</v>
      </c>
      <c r="C21" s="135" t="s">
        <v>242</v>
      </c>
      <c r="D21" s="135" t="s">
        <v>243</v>
      </c>
    </row>
    <row r="22" ht="16.5" customHeight="1">
      <c r="B22" s="136" t="s">
        <v>113</v>
      </c>
      <c r="C22" s="137" t="s">
        <v>244</v>
      </c>
      <c r="D22" s="138" t="s">
        <v>245</v>
      </c>
    </row>
    <row r="23" ht="16.5" customHeight="1">
      <c r="B23" s="136" t="s">
        <v>83</v>
      </c>
      <c r="C23" s="137" t="s">
        <v>246</v>
      </c>
      <c r="D23" s="138" t="s">
        <v>247</v>
      </c>
    </row>
    <row r="24" ht="16.5" customHeight="1">
      <c r="B24" s="139" t="s">
        <v>248</v>
      </c>
      <c r="C24" s="140" t="s">
        <v>249</v>
      </c>
      <c r="D24" s="138" t="s">
        <v>250</v>
      </c>
    </row>
    <row r="25" ht="16.5" customHeight="1">
      <c r="B25" s="136" t="s">
        <v>251</v>
      </c>
      <c r="C25" s="137" t="s">
        <v>252</v>
      </c>
      <c r="D25" s="138" t="s">
        <v>254</v>
      </c>
    </row>
    <row r="26" ht="16.5" customHeight="1">
      <c r="B26" s="144" t="s">
        <v>111</v>
      </c>
      <c r="C26" s="146" t="s">
        <v>255</v>
      </c>
      <c r="D26" s="138" t="s">
        <v>256</v>
      </c>
    </row>
    <row r="27" ht="16.5" customHeight="1">
      <c r="B27" s="147" t="s">
        <v>257</v>
      </c>
      <c r="C27" s="148" t="s">
        <v>258</v>
      </c>
      <c r="D27" s="138" t="s">
        <v>259</v>
      </c>
    </row>
    <row r="28" ht="16.5" customHeight="1">
      <c r="B28" s="136" t="s">
        <v>119</v>
      </c>
      <c r="C28" s="137" t="s">
        <v>260</v>
      </c>
      <c r="D28" s="138" t="s">
        <v>261</v>
      </c>
    </row>
    <row r="29" ht="16.5" customHeight="1">
      <c r="B29" s="136" t="s">
        <v>118</v>
      </c>
      <c r="C29" s="137" t="s">
        <v>263</v>
      </c>
      <c r="D29" s="138" t="s">
        <v>264</v>
      </c>
    </row>
    <row r="30" ht="16.5" customHeight="1">
      <c r="B30" s="144" t="s">
        <v>48</v>
      </c>
      <c r="C30" s="146" t="s">
        <v>265</v>
      </c>
      <c r="D30" s="138" t="s">
        <v>266</v>
      </c>
    </row>
    <row r="31" ht="16.5" customHeight="1">
      <c r="B31" s="144" t="s">
        <v>116</v>
      </c>
      <c r="C31" s="146" t="s">
        <v>267</v>
      </c>
      <c r="D31" s="138" t="s">
        <v>268</v>
      </c>
    </row>
    <row r="32" ht="16.5" customHeight="1">
      <c r="B32" s="153" t="s">
        <v>270</v>
      </c>
      <c r="C32" s="154" t="s">
        <v>271</v>
      </c>
      <c r="D32" s="138" t="s">
        <v>272</v>
      </c>
    </row>
    <row r="33" ht="16.5" customHeight="1">
      <c r="B33" s="136" t="s">
        <v>67</v>
      </c>
      <c r="C33" s="137" t="s">
        <v>273</v>
      </c>
      <c r="D33" s="138" t="s">
        <v>274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138</v>
      </c>
      <c r="B1" s="95" t="s">
        <v>141</v>
      </c>
      <c r="C1" s="95" t="s">
        <v>9</v>
      </c>
      <c r="D1" s="95"/>
      <c r="E1" s="95"/>
    </row>
    <row r="2">
      <c r="A2" s="97">
        <v>46165.0</v>
      </c>
      <c r="B2" s="95" t="s">
        <v>143</v>
      </c>
      <c r="C2" s="99">
        <v>10000.0</v>
      </c>
      <c r="D2" s="95"/>
      <c r="E2" s="95"/>
    </row>
    <row r="3">
      <c r="A3" s="97">
        <v>46166.0</v>
      </c>
      <c r="B3" s="95" t="s">
        <v>145</v>
      </c>
      <c r="C3" s="99">
        <v>19000.0</v>
      </c>
      <c r="D3" s="95"/>
      <c r="E3" s="95"/>
    </row>
    <row r="4">
      <c r="A4" s="97">
        <v>46168.0</v>
      </c>
      <c r="B4" s="95" t="s">
        <v>146</v>
      </c>
      <c r="C4" s="102">
        <v>2500.0</v>
      </c>
      <c r="D4" s="95"/>
      <c r="E4" s="95"/>
    </row>
    <row r="5">
      <c r="A5" s="97">
        <v>46169.0</v>
      </c>
      <c r="B5" s="95" t="s">
        <v>148</v>
      </c>
      <c r="C5" s="99">
        <v>29050.0</v>
      </c>
      <c r="D5" s="95"/>
      <c r="E5" s="95"/>
    </row>
    <row r="6">
      <c r="A6" s="97">
        <v>46169.0</v>
      </c>
      <c r="B6" s="95" t="s">
        <v>151</v>
      </c>
      <c r="C6" s="102">
        <v>100.0</v>
      </c>
      <c r="D6" s="95"/>
      <c r="E6" s="95"/>
    </row>
    <row r="7">
      <c r="A7" s="97">
        <v>46169.0</v>
      </c>
      <c r="B7" s="95" t="s">
        <v>152</v>
      </c>
      <c r="C7" s="102">
        <v>300.0</v>
      </c>
      <c r="D7" s="95"/>
      <c r="E7" s="95"/>
    </row>
    <row r="8">
      <c r="A8" s="97">
        <v>46169.0</v>
      </c>
      <c r="B8" s="95" t="s">
        <v>153</v>
      </c>
      <c r="C8" s="102">
        <v>370.0</v>
      </c>
      <c r="D8" s="95"/>
      <c r="E8" s="95"/>
    </row>
    <row r="9">
      <c r="A9" s="97">
        <v>46169.0</v>
      </c>
      <c r="B9" s="95" t="s">
        <v>78</v>
      </c>
      <c r="C9" s="102">
        <v>2494.0</v>
      </c>
      <c r="D9" s="95"/>
      <c r="E9" s="95"/>
    </row>
    <row r="10">
      <c r="A10" s="97">
        <v>46169.0</v>
      </c>
      <c r="B10" s="95" t="s">
        <v>154</v>
      </c>
      <c r="C10" s="102">
        <v>5000.0</v>
      </c>
      <c r="D10" s="95"/>
      <c r="E10" s="95"/>
    </row>
    <row r="11">
      <c r="A11" s="97">
        <v>46169.0</v>
      </c>
      <c r="B11" s="95" t="s">
        <v>155</v>
      </c>
      <c r="C11" s="99">
        <v>29000.0</v>
      </c>
      <c r="D11" s="95" t="s">
        <v>156</v>
      </c>
      <c r="E11" s="102">
        <v>24000.0</v>
      </c>
    </row>
    <row r="12">
      <c r="A12" s="97">
        <v>46169.0</v>
      </c>
      <c r="B12" s="95" t="s">
        <v>157</v>
      </c>
      <c r="C12" s="102">
        <v>400.0</v>
      </c>
      <c r="D12" s="95" t="s">
        <v>158</v>
      </c>
      <c r="E12" s="99">
        <v>53000.0</v>
      </c>
    </row>
    <row r="13">
      <c r="A13" s="97">
        <v>46169.0</v>
      </c>
      <c r="B13" s="95" t="s">
        <v>159</v>
      </c>
      <c r="C13" s="102">
        <v>600.0</v>
      </c>
      <c r="D13" s="95"/>
      <c r="E13" s="95"/>
    </row>
    <row r="14">
      <c r="A14" s="97">
        <v>46170.0</v>
      </c>
      <c r="B14" s="95"/>
      <c r="C14" s="95"/>
      <c r="D14" s="95"/>
      <c r="E14" s="95"/>
    </row>
    <row r="22">
      <c r="A22" s="95" t="s">
        <v>160</v>
      </c>
      <c r="B22" s="95" t="s">
        <v>138</v>
      </c>
      <c r="C22" s="95" t="s">
        <v>161</v>
      </c>
      <c r="D22" s="95" t="s">
        <v>9</v>
      </c>
      <c r="E22" s="95" t="s">
        <v>162</v>
      </c>
    </row>
    <row r="23">
      <c r="A23" s="95" t="s">
        <v>163</v>
      </c>
      <c r="B23" s="95" t="s">
        <v>164</v>
      </c>
      <c r="C23" s="95" t="s">
        <v>166</v>
      </c>
      <c r="D23" s="102">
        <v>3150.0</v>
      </c>
      <c r="E23" s="109">
        <v>46464.0</v>
      </c>
    </row>
    <row r="24">
      <c r="A24" s="95" t="s">
        <v>163</v>
      </c>
      <c r="B24" s="95" t="s">
        <v>164</v>
      </c>
      <c r="C24" s="95" t="s">
        <v>170</v>
      </c>
      <c r="D24" s="102">
        <v>2650.0</v>
      </c>
      <c r="E24" s="109">
        <v>46219.0</v>
      </c>
    </row>
    <row r="25">
      <c r="A25" s="95" t="s">
        <v>163</v>
      </c>
      <c r="B25" s="95" t="s">
        <v>164</v>
      </c>
      <c r="C25" s="95" t="s">
        <v>173</v>
      </c>
      <c r="D25" s="102">
        <v>2600.0</v>
      </c>
      <c r="E25" s="109">
        <v>46828.0</v>
      </c>
    </row>
    <row r="26">
      <c r="A26" s="95" t="s">
        <v>163</v>
      </c>
      <c r="B26" s="95" t="s">
        <v>164</v>
      </c>
      <c r="C26" s="95" t="s">
        <v>177</v>
      </c>
      <c r="D26" s="102">
        <v>2680.0</v>
      </c>
      <c r="E26" s="115">
        <v>46863.0</v>
      </c>
    </row>
    <row r="27">
      <c r="A27" s="95" t="s">
        <v>79</v>
      </c>
      <c r="B27" s="95" t="s">
        <v>182</v>
      </c>
      <c r="C27" s="95" t="s">
        <v>183</v>
      </c>
      <c r="D27" s="102">
        <v>5390.0</v>
      </c>
      <c r="E27" s="109">
        <v>46764.0</v>
      </c>
    </row>
    <row r="28">
      <c r="A28" s="95" t="s">
        <v>79</v>
      </c>
      <c r="B28" s="95" t="s">
        <v>182</v>
      </c>
      <c r="C28" s="95" t="s">
        <v>185</v>
      </c>
      <c r="D28" s="102">
        <v>3235.0</v>
      </c>
      <c r="E28" s="109">
        <v>46673.0</v>
      </c>
    </row>
    <row r="29">
      <c r="A29" s="95" t="s">
        <v>79</v>
      </c>
      <c r="B29" s="95" t="s">
        <v>182</v>
      </c>
      <c r="C29" s="95" t="s">
        <v>189</v>
      </c>
      <c r="D29" s="102">
        <v>1230.0</v>
      </c>
      <c r="E29" s="95" t="s">
        <v>191</v>
      </c>
    </row>
    <row r="30">
      <c r="A30" s="95" t="s">
        <v>193</v>
      </c>
      <c r="B30" s="95"/>
      <c r="C30" s="95" t="s">
        <v>166</v>
      </c>
      <c r="D30" s="117">
        <v>2970.0</v>
      </c>
      <c r="E30" s="95"/>
    </row>
    <row r="31">
      <c r="A31" s="95" t="s">
        <v>193</v>
      </c>
      <c r="B31" s="95"/>
      <c r="C31" s="95" t="s">
        <v>183</v>
      </c>
      <c r="D31" s="117">
        <v>2970.0</v>
      </c>
      <c r="E31" s="95"/>
    </row>
    <row r="32">
      <c r="A32" s="95" t="s">
        <v>196</v>
      </c>
      <c r="B32" s="95" t="s">
        <v>198</v>
      </c>
      <c r="C32" s="95"/>
      <c r="D32" s="102">
        <v>5000.0</v>
      </c>
      <c r="E32" s="95" t="s">
        <v>199</v>
      </c>
    </row>
    <row r="42">
      <c r="A42" s="120" t="s">
        <v>202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23" t="s">
        <v>12</v>
      </c>
      <c r="B45" s="123" t="s">
        <v>212</v>
      </c>
      <c r="C45" s="123" t="s">
        <v>213</v>
      </c>
      <c r="D45" s="123" t="s">
        <v>108</v>
      </c>
      <c r="E45" s="123" t="s">
        <v>216</v>
      </c>
      <c r="F45" s="123" t="s">
        <v>218</v>
      </c>
      <c r="G45" s="123" t="s">
        <v>219</v>
      </c>
      <c r="H45" s="123" t="s">
        <v>221</v>
      </c>
      <c r="I45" s="123" t="s">
        <v>223</v>
      </c>
      <c r="J45" s="123" t="s">
        <v>225</v>
      </c>
    </row>
    <row r="46">
      <c r="A46" s="127" t="s">
        <v>226</v>
      </c>
      <c r="B46" s="129">
        <v>1000000.0</v>
      </c>
      <c r="C46" s="130">
        <v>0.2</v>
      </c>
      <c r="D46" s="129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9">
        <f t="shared" ref="H46:H52" si="2">IF(D46="", "", D46 * F46)</f>
        <v>0</v>
      </c>
      <c r="I46" s="129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253</v>
      </c>
      <c r="B47" s="143">
        <v>596000.0</v>
      </c>
      <c r="C47" s="145">
        <v>0.126</v>
      </c>
      <c r="D47" s="143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3">
        <f t="shared" si="2"/>
        <v>615612.9729</v>
      </c>
      <c r="I47" s="143">
        <f t="shared" si="3"/>
        <v>212564.401</v>
      </c>
      <c r="J47" s="150">
        <f t="shared" si="4"/>
        <v>256387.1932</v>
      </c>
    </row>
    <row r="48">
      <c r="A48" s="127" t="s">
        <v>269</v>
      </c>
      <c r="B48" s="151"/>
      <c r="C48" s="152"/>
      <c r="D48" s="129">
        <f>IF(AND(B48&lt;&gt;"", C48&lt;&gt;"", E48&lt;&gt;""), PMT(C48/12, E48, -B48), 15250)</f>
        <v>15250</v>
      </c>
      <c r="E48" s="155"/>
      <c r="F48" s="133">
        <v>0.0</v>
      </c>
      <c r="G48" s="155" t="str">
        <f t="shared" si="1"/>
        <v/>
      </c>
      <c r="H48" s="129">
        <f t="shared" si="2"/>
        <v>0</v>
      </c>
      <c r="I48" s="151" t="str">
        <f t="shared" si="3"/>
        <v/>
      </c>
      <c r="J48" s="156" t="str">
        <f t="shared" si="4"/>
        <v/>
      </c>
    </row>
    <row r="49">
      <c r="A49" s="142" t="s">
        <v>77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9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27" t="s">
        <v>275</v>
      </c>
      <c r="B50" s="129">
        <v>83419.0</v>
      </c>
      <c r="C50" s="130">
        <v>0.12</v>
      </c>
      <c r="D50" s="129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9">
        <f t="shared" si="2"/>
        <v>15261.18436</v>
      </c>
      <c r="I50" s="129">
        <f t="shared" si="3"/>
        <v>70532.37421</v>
      </c>
      <c r="J50" s="141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27" t="s">
        <v>277</v>
      </c>
      <c r="B52" s="151"/>
      <c r="C52" s="152"/>
      <c r="D52" s="129">
        <f>IF(AND(B52&lt;&gt;"", C52&lt;&gt;"", E52&lt;&gt;""), PMT(C52/12, E52, -B52), 3850)</f>
        <v>3850</v>
      </c>
      <c r="E52" s="155"/>
      <c r="F52" s="133">
        <v>0.0</v>
      </c>
      <c r="G52" s="155" t="str">
        <f t="shared" si="1"/>
        <v/>
      </c>
      <c r="H52" s="129">
        <f t="shared" si="2"/>
        <v>0</v>
      </c>
      <c r="I52" s="151" t="str">
        <f t="shared" si="3"/>
        <v/>
      </c>
      <c r="J52" s="156" t="str">
        <f t="shared" si="4"/>
        <v/>
      </c>
    </row>
    <row r="61">
      <c r="A61" s="166" t="s">
        <v>138</v>
      </c>
      <c r="B61" s="166" t="s">
        <v>278</v>
      </c>
      <c r="C61" s="166" t="s">
        <v>9</v>
      </c>
      <c r="D61" s="166" t="s">
        <v>279</v>
      </c>
      <c r="E61" s="166" t="s">
        <v>280</v>
      </c>
      <c r="F61" s="166" t="s">
        <v>281</v>
      </c>
      <c r="G61" s="166" t="s">
        <v>9</v>
      </c>
      <c r="H61" s="95"/>
      <c r="I61" s="166" t="s">
        <v>282</v>
      </c>
      <c r="J61" s="95" t="s">
        <v>283</v>
      </c>
    </row>
    <row r="62">
      <c r="A62" s="97">
        <v>46143.0</v>
      </c>
      <c r="B62" s="95" t="s">
        <v>150</v>
      </c>
      <c r="C62" s="167">
        <v>11839.0</v>
      </c>
      <c r="D62" s="168" t="b">
        <v>1</v>
      </c>
      <c r="E62" s="95" t="s">
        <v>284</v>
      </c>
      <c r="F62" s="95" t="s">
        <v>285</v>
      </c>
      <c r="G62" s="167">
        <v>71000.0</v>
      </c>
      <c r="H62" s="95"/>
      <c r="I62" s="166" t="s">
        <v>286</v>
      </c>
      <c r="J62" s="167">
        <f>SUM(C62:C1000)</f>
        <v>84657</v>
      </c>
    </row>
    <row r="63">
      <c r="A63" s="97">
        <v>46144.0</v>
      </c>
      <c r="B63" s="95" t="s">
        <v>287</v>
      </c>
      <c r="C63" s="167">
        <v>3850.0</v>
      </c>
      <c r="D63" s="168" t="b">
        <v>1</v>
      </c>
      <c r="E63" s="95" t="s">
        <v>288</v>
      </c>
      <c r="F63" s="95"/>
      <c r="G63" s="169"/>
      <c r="H63" s="95"/>
      <c r="I63" s="166" t="s">
        <v>221</v>
      </c>
      <c r="J63" s="167">
        <f>SUMIFS(C62:C1000, D62:D1000, TRUE)</f>
        <v>50435</v>
      </c>
    </row>
    <row r="64">
      <c r="A64" s="97">
        <v>46145.0</v>
      </c>
      <c r="B64" s="95" t="s">
        <v>289</v>
      </c>
      <c r="C64" s="167">
        <v>4627.0</v>
      </c>
      <c r="D64" s="168" t="b">
        <v>1</v>
      </c>
      <c r="E64" s="95"/>
      <c r="F64" s="95"/>
      <c r="G64" s="169"/>
      <c r="H64" s="95"/>
      <c r="I64" s="166" t="s">
        <v>290</v>
      </c>
      <c r="J64" s="167">
        <f>SUMIFS(C62:C1000, D62:D1000, FALSE)</f>
        <v>34222</v>
      </c>
    </row>
    <row r="65">
      <c r="A65" s="97">
        <v>46147.0</v>
      </c>
      <c r="B65" s="95" t="s">
        <v>291</v>
      </c>
      <c r="C65" s="167">
        <v>5000.0</v>
      </c>
      <c r="D65" s="168" t="b">
        <v>1</v>
      </c>
      <c r="E65" s="95"/>
      <c r="F65" s="95"/>
      <c r="G65" s="169"/>
      <c r="H65" s="95"/>
      <c r="I65" s="166" t="s">
        <v>292</v>
      </c>
      <c r="J65" s="167">
        <f>SUM(G62:G1000)</f>
        <v>71000</v>
      </c>
    </row>
    <row r="66">
      <c r="A66" s="97">
        <v>46167.0</v>
      </c>
      <c r="B66" s="95" t="s">
        <v>293</v>
      </c>
      <c r="C66" s="167">
        <v>18972.0</v>
      </c>
      <c r="D66" s="168" t="b">
        <v>0</v>
      </c>
      <c r="E66" s="170">
        <v>97110.0</v>
      </c>
      <c r="F66" s="95"/>
      <c r="G66" s="169"/>
      <c r="H66" s="95"/>
      <c r="I66" s="166" t="s">
        <v>294</v>
      </c>
      <c r="J66" s="167">
        <f>J65-J62</f>
        <v>-13657</v>
      </c>
    </row>
    <row r="67">
      <c r="A67" s="97">
        <v>46146.0</v>
      </c>
      <c r="B67" s="95" t="s">
        <v>295</v>
      </c>
      <c r="C67" s="167">
        <v>13625.0</v>
      </c>
      <c r="D67" s="168" t="b">
        <v>1</v>
      </c>
      <c r="E67" s="95" t="s">
        <v>296</v>
      </c>
      <c r="F67" s="95"/>
      <c r="G67" s="169"/>
      <c r="H67" s="95"/>
      <c r="I67" s="95"/>
      <c r="J67" s="95"/>
    </row>
    <row r="68">
      <c r="A68" s="97">
        <v>46145.0</v>
      </c>
      <c r="B68" s="95" t="s">
        <v>297</v>
      </c>
      <c r="C68" s="167">
        <v>2494.0</v>
      </c>
      <c r="D68" s="168" t="b">
        <v>1</v>
      </c>
      <c r="E68" s="95"/>
      <c r="F68" s="95"/>
      <c r="G68" s="169"/>
      <c r="H68" s="95"/>
      <c r="I68" s="95"/>
      <c r="J68" s="95"/>
    </row>
    <row r="69">
      <c r="A69" s="97">
        <v>46144.0</v>
      </c>
      <c r="B69" s="95" t="s">
        <v>298</v>
      </c>
      <c r="C69" s="167">
        <v>4500.0</v>
      </c>
      <c r="D69" s="168" t="b">
        <v>1</v>
      </c>
      <c r="E69" s="95"/>
      <c r="F69" s="95"/>
      <c r="G69" s="169"/>
      <c r="H69" s="95"/>
      <c r="I69" s="95"/>
      <c r="J69" s="95"/>
    </row>
    <row r="70">
      <c r="A70" s="97">
        <v>46152.0</v>
      </c>
      <c r="B70" s="95" t="s">
        <v>299</v>
      </c>
      <c r="C70" s="167">
        <v>1500.0</v>
      </c>
      <c r="D70" s="168" t="b">
        <v>1</v>
      </c>
      <c r="E70" s="95"/>
      <c r="F70" s="95"/>
      <c r="G70" s="169"/>
      <c r="H70" s="95"/>
      <c r="I70" s="95"/>
      <c r="J70" s="95"/>
    </row>
    <row r="71">
      <c r="A71" s="97">
        <v>46152.0</v>
      </c>
      <c r="B71" s="95" t="s">
        <v>300</v>
      </c>
      <c r="C71" s="167">
        <v>3000.0</v>
      </c>
      <c r="D71" s="168" t="b">
        <v>1</v>
      </c>
      <c r="E71" s="95"/>
      <c r="F71" s="95"/>
      <c r="G71" s="169"/>
      <c r="H71" s="95"/>
      <c r="I71" s="95"/>
      <c r="J71" s="95"/>
    </row>
    <row r="72">
      <c r="A72" s="97">
        <v>46157.0</v>
      </c>
      <c r="B72" s="95" t="s">
        <v>301</v>
      </c>
      <c r="C72" s="167">
        <v>15250.0</v>
      </c>
      <c r="D72" s="168" t="b">
        <v>0</v>
      </c>
      <c r="E72" s="95"/>
      <c r="F72" s="95"/>
      <c r="G72" s="169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4" t="s">
        <v>138</v>
      </c>
      <c r="B1" s="100" t="s">
        <v>140</v>
      </c>
      <c r="C1" s="100" t="s">
        <v>147</v>
      </c>
      <c r="D1" s="100" t="s">
        <v>11</v>
      </c>
    </row>
    <row r="2">
      <c r="A2" s="103">
        <v>46060.0</v>
      </c>
      <c r="B2" s="9" t="s">
        <v>150</v>
      </c>
      <c r="C2" s="107">
        <v>12000.0</v>
      </c>
      <c r="D2" s="9" t="s">
        <v>167</v>
      </c>
    </row>
    <row r="3">
      <c r="A3" s="103">
        <v>46060.0</v>
      </c>
      <c r="B3" s="9" t="s">
        <v>169</v>
      </c>
      <c r="C3" s="9">
        <v>4600.0</v>
      </c>
      <c r="D3" s="9" t="s">
        <v>171</v>
      </c>
    </row>
    <row r="4">
      <c r="A4" s="113" t="s">
        <v>172</v>
      </c>
      <c r="B4" s="9" t="s">
        <v>174</v>
      </c>
      <c r="C4" s="107">
        <v>15500.0</v>
      </c>
      <c r="D4" s="9" t="s">
        <v>175</v>
      </c>
    </row>
    <row r="5">
      <c r="A5" s="113" t="s">
        <v>176</v>
      </c>
      <c r="B5" s="9" t="s">
        <v>178</v>
      </c>
      <c r="C5" s="9">
        <v>2000.0</v>
      </c>
      <c r="D5" s="9" t="s">
        <v>179</v>
      </c>
    </row>
    <row r="6">
      <c r="A6" s="114"/>
    </row>
    <row r="7">
      <c r="A7" s="114"/>
    </row>
    <row r="8">
      <c r="A8" s="114"/>
    </row>
    <row r="9">
      <c r="A9" s="114"/>
    </row>
    <row r="10">
      <c r="A10" s="114"/>
    </row>
    <row r="11">
      <c r="A11" s="114"/>
    </row>
    <row r="12">
      <c r="A12" s="114"/>
    </row>
    <row r="13">
      <c r="A13" s="114"/>
    </row>
    <row r="14">
      <c r="A14" s="114"/>
    </row>
    <row r="15">
      <c r="A15" s="114"/>
    </row>
    <row r="16">
      <c r="A16" s="114"/>
    </row>
    <row r="17">
      <c r="A17" s="114"/>
    </row>
    <row r="18">
      <c r="A18" s="114"/>
    </row>
    <row r="19">
      <c r="A19" s="114"/>
    </row>
    <row r="20">
      <c r="A20" s="114"/>
    </row>
    <row r="21">
      <c r="A21" s="114"/>
    </row>
    <row r="22">
      <c r="A22" s="114"/>
    </row>
    <row r="23">
      <c r="A23" s="114"/>
    </row>
    <row r="24">
      <c r="A24" s="114"/>
    </row>
    <row r="25">
      <c r="A25" s="114"/>
    </row>
    <row r="26">
      <c r="A26" s="114"/>
    </row>
    <row r="27">
      <c r="A27" s="114"/>
    </row>
    <row r="28">
      <c r="A28" s="114"/>
    </row>
    <row r="29">
      <c r="A29" s="114"/>
    </row>
    <row r="30">
      <c r="A30" s="114"/>
    </row>
    <row r="31">
      <c r="A31" s="114"/>
    </row>
    <row r="32">
      <c r="A32" s="114"/>
    </row>
    <row r="33">
      <c r="A33" s="114"/>
    </row>
    <row r="34">
      <c r="A34" s="114"/>
    </row>
    <row r="35">
      <c r="A35" s="114"/>
    </row>
    <row r="36">
      <c r="A36" s="114"/>
    </row>
    <row r="37">
      <c r="A37" s="114"/>
    </row>
    <row r="38">
      <c r="A38" s="114"/>
    </row>
    <row r="39">
      <c r="A39" s="114"/>
    </row>
    <row r="40">
      <c r="A40" s="114"/>
    </row>
    <row r="41">
      <c r="A41" s="114"/>
    </row>
    <row r="42">
      <c r="A42" s="114"/>
    </row>
    <row r="43">
      <c r="A43" s="114"/>
    </row>
    <row r="44">
      <c r="A44" s="114"/>
    </row>
    <row r="45">
      <c r="A45" s="114"/>
    </row>
    <row r="46">
      <c r="A46" s="114"/>
    </row>
    <row r="47">
      <c r="A47" s="114"/>
    </row>
    <row r="48">
      <c r="A48" s="114"/>
    </row>
    <row r="49">
      <c r="A49" s="114"/>
    </row>
    <row r="50">
      <c r="A50" s="114"/>
    </row>
    <row r="51">
      <c r="A51" s="114"/>
    </row>
    <row r="52">
      <c r="A52" s="114"/>
    </row>
    <row r="53">
      <c r="A53" s="114"/>
    </row>
    <row r="54">
      <c r="A54" s="114"/>
    </row>
    <row r="55">
      <c r="A55" s="114"/>
    </row>
    <row r="56">
      <c r="A56" s="114"/>
    </row>
    <row r="57">
      <c r="A57" s="114"/>
    </row>
    <row r="58">
      <c r="A58" s="114"/>
    </row>
    <row r="59">
      <c r="A59" s="114"/>
    </row>
    <row r="60">
      <c r="A60" s="114"/>
    </row>
    <row r="61">
      <c r="A61" s="114"/>
    </row>
    <row r="62">
      <c r="A62" s="114"/>
    </row>
    <row r="63">
      <c r="A63" s="114"/>
    </row>
    <row r="64">
      <c r="A64" s="114"/>
    </row>
    <row r="65">
      <c r="A65" s="114"/>
    </row>
    <row r="66">
      <c r="A66" s="114"/>
    </row>
    <row r="67">
      <c r="A67" s="114"/>
    </row>
    <row r="68">
      <c r="A68" s="114"/>
    </row>
    <row r="69">
      <c r="A69" s="114"/>
    </row>
    <row r="70">
      <c r="A70" s="114"/>
    </row>
    <row r="71">
      <c r="A71" s="114"/>
    </row>
    <row r="72">
      <c r="A72" s="114"/>
    </row>
    <row r="73">
      <c r="A73" s="114"/>
    </row>
    <row r="74">
      <c r="A74" s="114"/>
    </row>
    <row r="75">
      <c r="A75" s="114"/>
    </row>
    <row r="76">
      <c r="A76" s="114"/>
    </row>
    <row r="77">
      <c r="A77" s="114"/>
    </row>
    <row r="78">
      <c r="A78" s="114"/>
    </row>
    <row r="79">
      <c r="A79" s="114"/>
    </row>
    <row r="80">
      <c r="A80" s="114"/>
    </row>
    <row r="81">
      <c r="A81" s="114"/>
    </row>
    <row r="82">
      <c r="A82" s="114"/>
    </row>
    <row r="83">
      <c r="A83" s="114"/>
    </row>
    <row r="84">
      <c r="A84" s="114"/>
    </row>
    <row r="85">
      <c r="A85" s="114"/>
    </row>
    <row r="86">
      <c r="A86" s="114"/>
    </row>
    <row r="87">
      <c r="A87" s="114"/>
    </row>
    <row r="88">
      <c r="A88" s="114"/>
    </row>
    <row r="89">
      <c r="A89" s="114"/>
    </row>
    <row r="90">
      <c r="A90" s="114"/>
    </row>
    <row r="91">
      <c r="A91" s="114"/>
    </row>
    <row r="92">
      <c r="A92" s="114"/>
    </row>
    <row r="93">
      <c r="A93" s="114"/>
    </row>
    <row r="94">
      <c r="A94" s="114"/>
    </row>
    <row r="95">
      <c r="A95" s="114"/>
    </row>
    <row r="96">
      <c r="A96" s="114"/>
    </row>
    <row r="97">
      <c r="A97" s="114"/>
    </row>
    <row r="98">
      <c r="A98" s="114"/>
    </row>
    <row r="99">
      <c r="A99" s="114"/>
    </row>
    <row r="100">
      <c r="A100" s="114"/>
    </row>
    <row r="101">
      <c r="A101" s="114"/>
    </row>
    <row r="102">
      <c r="A102" s="114"/>
    </row>
    <row r="103">
      <c r="A103" s="114"/>
    </row>
    <row r="104">
      <c r="A104" s="114"/>
    </row>
    <row r="105">
      <c r="A105" s="114"/>
    </row>
    <row r="106">
      <c r="A106" s="114"/>
    </row>
    <row r="107">
      <c r="A107" s="114"/>
    </row>
    <row r="108">
      <c r="A108" s="114"/>
    </row>
    <row r="109">
      <c r="A109" s="114"/>
    </row>
    <row r="110">
      <c r="A110" s="114"/>
    </row>
    <row r="111">
      <c r="A111" s="114"/>
    </row>
    <row r="112">
      <c r="A112" s="114"/>
    </row>
    <row r="113">
      <c r="A113" s="114"/>
    </row>
    <row r="114">
      <c r="A114" s="114"/>
    </row>
    <row r="115">
      <c r="A115" s="114"/>
    </row>
    <row r="116">
      <c r="A116" s="114"/>
    </row>
    <row r="117">
      <c r="A117" s="114"/>
    </row>
    <row r="118">
      <c r="A118" s="114"/>
    </row>
    <row r="119">
      <c r="A119" s="114"/>
    </row>
    <row r="120">
      <c r="A120" s="114"/>
    </row>
    <row r="121">
      <c r="A121" s="114"/>
    </row>
    <row r="122">
      <c r="A122" s="114"/>
    </row>
    <row r="123">
      <c r="A123" s="114"/>
    </row>
    <row r="124">
      <c r="A124" s="114"/>
    </row>
    <row r="125">
      <c r="A125" s="114"/>
    </row>
    <row r="126">
      <c r="A126" s="114"/>
    </row>
    <row r="127">
      <c r="A127" s="114"/>
    </row>
    <row r="128">
      <c r="A128" s="114"/>
    </row>
    <row r="129">
      <c r="A129" s="114"/>
    </row>
    <row r="130">
      <c r="A130" s="114"/>
    </row>
    <row r="131">
      <c r="A131" s="114"/>
    </row>
    <row r="132">
      <c r="A132" s="114"/>
    </row>
    <row r="133">
      <c r="A133" s="114"/>
    </row>
    <row r="134">
      <c r="A134" s="114"/>
    </row>
    <row r="135">
      <c r="A135" s="114"/>
    </row>
    <row r="136">
      <c r="A136" s="114"/>
    </row>
    <row r="137">
      <c r="A137" s="114"/>
    </row>
    <row r="138">
      <c r="A138" s="114"/>
    </row>
    <row r="139">
      <c r="A139" s="114"/>
    </row>
    <row r="140">
      <c r="A140" s="114"/>
    </row>
    <row r="141">
      <c r="A141" s="114"/>
    </row>
    <row r="142">
      <c r="A142" s="114"/>
    </row>
    <row r="143">
      <c r="A143" s="114"/>
    </row>
    <row r="144">
      <c r="A144" s="114"/>
    </row>
    <row r="145">
      <c r="A145" s="114"/>
    </row>
    <row r="146">
      <c r="A146" s="114"/>
    </row>
    <row r="147">
      <c r="A147" s="114"/>
    </row>
    <row r="148">
      <c r="A148" s="114"/>
    </row>
    <row r="149">
      <c r="A149" s="114"/>
    </row>
    <row r="150">
      <c r="A150" s="114"/>
    </row>
    <row r="151">
      <c r="A151" s="114"/>
    </row>
    <row r="152">
      <c r="A152" s="114"/>
    </row>
    <row r="153">
      <c r="A153" s="114"/>
    </row>
    <row r="154">
      <c r="A154" s="114"/>
    </row>
    <row r="155">
      <c r="A155" s="114"/>
    </row>
    <row r="156">
      <c r="A156" s="114"/>
    </row>
    <row r="157">
      <c r="A157" s="114"/>
    </row>
    <row r="158">
      <c r="A158" s="114"/>
    </row>
    <row r="159">
      <c r="A159" s="114"/>
    </row>
    <row r="160">
      <c r="A160" s="114"/>
    </row>
    <row r="161">
      <c r="A161" s="114"/>
    </row>
    <row r="162">
      <c r="A162" s="114"/>
    </row>
    <row r="163">
      <c r="A163" s="114"/>
    </row>
    <row r="164">
      <c r="A164" s="114"/>
    </row>
    <row r="165">
      <c r="A165" s="114"/>
    </row>
    <row r="166">
      <c r="A166" s="114"/>
    </row>
    <row r="167">
      <c r="A167" s="114"/>
    </row>
    <row r="168">
      <c r="A168" s="114"/>
    </row>
    <row r="169">
      <c r="A169" s="114"/>
    </row>
    <row r="170">
      <c r="A170" s="114"/>
    </row>
    <row r="171">
      <c r="A171" s="114"/>
    </row>
    <row r="172">
      <c r="A172" s="114"/>
    </row>
    <row r="173">
      <c r="A173" s="114"/>
    </row>
    <row r="174">
      <c r="A174" s="114"/>
    </row>
    <row r="175">
      <c r="A175" s="114"/>
    </row>
    <row r="176">
      <c r="A176" s="114"/>
    </row>
    <row r="177">
      <c r="A177" s="114"/>
    </row>
    <row r="178">
      <c r="A178" s="114"/>
    </row>
    <row r="179">
      <c r="A179" s="114"/>
    </row>
    <row r="180">
      <c r="A180" s="114"/>
    </row>
    <row r="181">
      <c r="A181" s="114"/>
    </row>
    <row r="182">
      <c r="A182" s="114"/>
    </row>
    <row r="183">
      <c r="A183" s="114"/>
    </row>
    <row r="184">
      <c r="A184" s="114"/>
    </row>
    <row r="185">
      <c r="A185" s="114"/>
    </row>
    <row r="186">
      <c r="A186" s="114"/>
    </row>
    <row r="187">
      <c r="A187" s="114"/>
    </row>
    <row r="188">
      <c r="A188" s="114"/>
    </row>
    <row r="189">
      <c r="A189" s="114"/>
    </row>
    <row r="190">
      <c r="A190" s="114"/>
    </row>
    <row r="191">
      <c r="A191" s="114"/>
    </row>
    <row r="192">
      <c r="A192" s="114"/>
    </row>
    <row r="193">
      <c r="A193" s="114"/>
    </row>
    <row r="194">
      <c r="A194" s="114"/>
    </row>
    <row r="195">
      <c r="A195" s="114"/>
    </row>
    <row r="196">
      <c r="A196" s="114"/>
    </row>
    <row r="197">
      <c r="A197" s="114"/>
    </row>
    <row r="198">
      <c r="A198" s="114"/>
    </row>
    <row r="199">
      <c r="A199" s="114"/>
    </row>
    <row r="200">
      <c r="A200" s="114"/>
    </row>
    <row r="201">
      <c r="A201" s="114"/>
    </row>
    <row r="202">
      <c r="A202" s="114"/>
    </row>
    <row r="203">
      <c r="A203" s="114"/>
    </row>
    <row r="204">
      <c r="A204" s="114"/>
    </row>
    <row r="205">
      <c r="A205" s="114"/>
    </row>
    <row r="206">
      <c r="A206" s="114"/>
    </row>
    <row r="207">
      <c r="A207" s="114"/>
    </row>
    <row r="208">
      <c r="A208" s="114"/>
    </row>
    <row r="209">
      <c r="A209" s="114"/>
    </row>
    <row r="210">
      <c r="A210" s="114"/>
    </row>
    <row r="211">
      <c r="A211" s="114"/>
    </row>
    <row r="212">
      <c r="A212" s="114"/>
    </row>
    <row r="213">
      <c r="A213" s="114"/>
    </row>
    <row r="214">
      <c r="A214" s="114"/>
    </row>
    <row r="215">
      <c r="A215" s="114"/>
    </row>
    <row r="216">
      <c r="A216" s="114"/>
    </row>
    <row r="217">
      <c r="A217" s="114"/>
    </row>
    <row r="218">
      <c r="A218" s="114"/>
    </row>
    <row r="219">
      <c r="A219" s="114"/>
    </row>
    <row r="220">
      <c r="A220" s="114"/>
    </row>
    <row r="221">
      <c r="A221" s="114"/>
    </row>
    <row r="222">
      <c r="A222" s="114"/>
    </row>
    <row r="223">
      <c r="A223" s="114"/>
    </row>
    <row r="224">
      <c r="A224" s="114"/>
    </row>
    <row r="225">
      <c r="A225" s="114"/>
    </row>
    <row r="226">
      <c r="A226" s="114"/>
    </row>
    <row r="227">
      <c r="A227" s="114"/>
    </row>
    <row r="228">
      <c r="A228" s="114"/>
    </row>
    <row r="229">
      <c r="A229" s="114"/>
    </row>
    <row r="230">
      <c r="A230" s="114"/>
    </row>
    <row r="231">
      <c r="A231" s="114"/>
    </row>
    <row r="232">
      <c r="A232" s="114"/>
    </row>
    <row r="233">
      <c r="A233" s="114"/>
    </row>
    <row r="234">
      <c r="A234" s="114"/>
    </row>
    <row r="235">
      <c r="A235" s="114"/>
    </row>
    <row r="236">
      <c r="A236" s="114"/>
    </row>
    <row r="237">
      <c r="A237" s="114"/>
    </row>
    <row r="238">
      <c r="A238" s="114"/>
    </row>
    <row r="239">
      <c r="A239" s="114"/>
    </row>
    <row r="240">
      <c r="A240" s="114"/>
    </row>
    <row r="241">
      <c r="A241" s="114"/>
    </row>
    <row r="242">
      <c r="A242" s="114"/>
    </row>
    <row r="243">
      <c r="A243" s="114"/>
    </row>
    <row r="244">
      <c r="A244" s="114"/>
    </row>
    <row r="245">
      <c r="A245" s="114"/>
    </row>
    <row r="246">
      <c r="A246" s="114"/>
    </row>
    <row r="247">
      <c r="A247" s="114"/>
    </row>
    <row r="248">
      <c r="A248" s="114"/>
    </row>
    <row r="249">
      <c r="A249" s="114"/>
    </row>
    <row r="250">
      <c r="A250" s="114"/>
    </row>
    <row r="251">
      <c r="A251" s="114"/>
    </row>
    <row r="252">
      <c r="A252" s="114"/>
    </row>
    <row r="253">
      <c r="A253" s="114"/>
    </row>
    <row r="254">
      <c r="A254" s="114"/>
    </row>
    <row r="255">
      <c r="A255" s="114"/>
    </row>
    <row r="256">
      <c r="A256" s="114"/>
    </row>
    <row r="257">
      <c r="A257" s="114"/>
    </row>
    <row r="258">
      <c r="A258" s="114"/>
    </row>
    <row r="259">
      <c r="A259" s="114"/>
    </row>
    <row r="260">
      <c r="A260" s="114"/>
    </row>
    <row r="261">
      <c r="A261" s="114"/>
    </row>
    <row r="262">
      <c r="A262" s="114"/>
    </row>
    <row r="263">
      <c r="A263" s="114"/>
    </row>
    <row r="264">
      <c r="A264" s="114"/>
    </row>
    <row r="265">
      <c r="A265" s="114"/>
    </row>
    <row r="266">
      <c r="A266" s="114"/>
    </row>
    <row r="267">
      <c r="A267" s="114"/>
    </row>
    <row r="268">
      <c r="A268" s="114"/>
    </row>
    <row r="269">
      <c r="A269" s="114"/>
    </row>
    <row r="270">
      <c r="A270" s="114"/>
    </row>
    <row r="271">
      <c r="A271" s="114"/>
    </row>
    <row r="272">
      <c r="A272" s="114"/>
    </row>
    <row r="273">
      <c r="A273" s="114"/>
    </row>
    <row r="274">
      <c r="A274" s="114"/>
    </row>
    <row r="275">
      <c r="A275" s="114"/>
    </row>
    <row r="276">
      <c r="A276" s="114"/>
    </row>
    <row r="277">
      <c r="A277" s="114"/>
    </row>
    <row r="278">
      <c r="A278" s="114"/>
    </row>
    <row r="279">
      <c r="A279" s="114"/>
    </row>
    <row r="280">
      <c r="A280" s="114"/>
    </row>
    <row r="281">
      <c r="A281" s="114"/>
    </row>
    <row r="282">
      <c r="A282" s="114"/>
    </row>
    <row r="283">
      <c r="A283" s="114"/>
    </row>
    <row r="284">
      <c r="A284" s="114"/>
    </row>
    <row r="285">
      <c r="A285" s="114"/>
    </row>
    <row r="286">
      <c r="A286" s="114"/>
    </row>
    <row r="287">
      <c r="A287" s="114"/>
    </row>
    <row r="288">
      <c r="A288" s="114"/>
    </row>
    <row r="289">
      <c r="A289" s="114"/>
    </row>
    <row r="290">
      <c r="A290" s="114"/>
    </row>
    <row r="291">
      <c r="A291" s="114"/>
    </row>
    <row r="292">
      <c r="A292" s="114"/>
    </row>
    <row r="293">
      <c r="A293" s="114"/>
    </row>
    <row r="294">
      <c r="A294" s="114"/>
    </row>
    <row r="295">
      <c r="A295" s="114"/>
    </row>
    <row r="296">
      <c r="A296" s="114"/>
    </row>
    <row r="297">
      <c r="A297" s="114"/>
    </row>
    <row r="298">
      <c r="A298" s="114"/>
    </row>
    <row r="299">
      <c r="A299" s="114"/>
    </row>
    <row r="300">
      <c r="A300" s="114"/>
    </row>
    <row r="301">
      <c r="A301" s="114"/>
    </row>
    <row r="302">
      <c r="A302" s="114"/>
    </row>
    <row r="303">
      <c r="A303" s="114"/>
    </row>
    <row r="304">
      <c r="A304" s="114"/>
    </row>
    <row r="305">
      <c r="A305" s="114"/>
    </row>
    <row r="306">
      <c r="A306" s="114"/>
    </row>
    <row r="307">
      <c r="A307" s="114"/>
    </row>
    <row r="308">
      <c r="A308" s="114"/>
    </row>
    <row r="309">
      <c r="A309" s="114"/>
    </row>
    <row r="310">
      <c r="A310" s="114"/>
    </row>
    <row r="311">
      <c r="A311" s="114"/>
    </row>
    <row r="312">
      <c r="A312" s="114"/>
    </row>
    <row r="313">
      <c r="A313" s="114"/>
    </row>
    <row r="314">
      <c r="A314" s="114"/>
    </row>
    <row r="315">
      <c r="A315" s="114"/>
    </row>
    <row r="316">
      <c r="A316" s="114"/>
    </row>
    <row r="317">
      <c r="A317" s="114"/>
    </row>
    <row r="318">
      <c r="A318" s="114"/>
    </row>
    <row r="319">
      <c r="A319" s="114"/>
    </row>
    <row r="320">
      <c r="A320" s="114"/>
    </row>
    <row r="321">
      <c r="A321" s="114"/>
    </row>
    <row r="322">
      <c r="A322" s="114"/>
    </row>
    <row r="323">
      <c r="A323" s="114"/>
    </row>
    <row r="324">
      <c r="A324" s="114"/>
    </row>
    <row r="325">
      <c r="A325" s="114"/>
    </row>
    <row r="326">
      <c r="A326" s="114"/>
    </row>
    <row r="327">
      <c r="A327" s="114"/>
    </row>
    <row r="328">
      <c r="A328" s="114"/>
    </row>
    <row r="329">
      <c r="A329" s="114"/>
    </row>
    <row r="330">
      <c r="A330" s="114"/>
    </row>
    <row r="331">
      <c r="A331" s="114"/>
    </row>
    <row r="332">
      <c r="A332" s="114"/>
    </row>
    <row r="333">
      <c r="A333" s="114"/>
    </row>
    <row r="334">
      <c r="A334" s="114"/>
    </row>
    <row r="335">
      <c r="A335" s="114"/>
    </row>
    <row r="336">
      <c r="A336" s="114"/>
    </row>
    <row r="337">
      <c r="A337" s="114"/>
    </row>
    <row r="338">
      <c r="A338" s="114"/>
    </row>
    <row r="339">
      <c r="A339" s="114"/>
    </row>
    <row r="340">
      <c r="A340" s="114"/>
    </row>
    <row r="341">
      <c r="A341" s="114"/>
    </row>
    <row r="342">
      <c r="A342" s="114"/>
    </row>
    <row r="343">
      <c r="A343" s="114"/>
    </row>
    <row r="344">
      <c r="A344" s="114"/>
    </row>
    <row r="345">
      <c r="A345" s="114"/>
    </row>
    <row r="346">
      <c r="A346" s="114"/>
    </row>
    <row r="347">
      <c r="A347" s="114"/>
    </row>
    <row r="348">
      <c r="A348" s="114"/>
    </row>
    <row r="349">
      <c r="A349" s="114"/>
    </row>
    <row r="350">
      <c r="A350" s="114"/>
    </row>
    <row r="351">
      <c r="A351" s="114"/>
    </row>
    <row r="352">
      <c r="A352" s="114"/>
    </row>
    <row r="353">
      <c r="A353" s="114"/>
    </row>
    <row r="354">
      <c r="A354" s="114"/>
    </row>
    <row r="355">
      <c r="A355" s="114"/>
    </row>
    <row r="356">
      <c r="A356" s="114"/>
    </row>
    <row r="357">
      <c r="A357" s="114"/>
    </row>
    <row r="358">
      <c r="A358" s="114"/>
    </row>
    <row r="359">
      <c r="A359" s="114"/>
    </row>
    <row r="360">
      <c r="A360" s="114"/>
    </row>
    <row r="361">
      <c r="A361" s="114"/>
    </row>
    <row r="362">
      <c r="A362" s="114"/>
    </row>
    <row r="363">
      <c r="A363" s="114"/>
    </row>
    <row r="364">
      <c r="A364" s="114"/>
    </row>
    <row r="365">
      <c r="A365" s="114"/>
    </row>
    <row r="366">
      <c r="A366" s="114"/>
    </row>
    <row r="367">
      <c r="A367" s="114"/>
    </row>
    <row r="368">
      <c r="A368" s="114"/>
    </row>
    <row r="369">
      <c r="A369" s="114"/>
    </row>
    <row r="370">
      <c r="A370" s="114"/>
    </row>
    <row r="371">
      <c r="A371" s="114"/>
    </row>
    <row r="372">
      <c r="A372" s="114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drawing r:id="rId1"/>
</worksheet>
</file>