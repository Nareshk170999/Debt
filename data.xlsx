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<sst xmlns="http://schemas.openxmlformats.org/spreadsheetml/2006/main" count="460" uniqueCount="350">
  <si>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</si>
  <si>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</si>
  <si>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</si>
  <si>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</si>
  <si>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</si>
  <si>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</si>
  <si>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</si>
  <si>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</si>
  <si>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</si>
  <si>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Total Income</t>
  </si>
  <si>
    <t>Notes</t>
  </si>
  <si>
    <t>Gold Loan Tracker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</si>
  <si>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</si>
  <si>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</si>
  <si>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</si>
  <si>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</si>
  <si>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</si>
  <si>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</si>
  <si>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</si>
  <si>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Month-by-Month Payment View — May 2026 to Dec 2030</t>
  </si>
  <si>
    <t>Siva Priya Loan</t>
  </si>
  <si>
    <t>Interest to Pay</t>
  </si>
  <si>
    <t>Loan Name</t>
  </si>
  <si>
    <t>Monthly EMI (₹)</t>
  </si>
  <si>
    <t>APPA</t>
  </si>
  <si>
    <t>End Date</t>
  </si>
  <si>
    <t>CUB</t>
  </si>
  <si>
    <t>Mani Mozhi</t>
  </si>
  <si>
    <t>EMIs Left
(approx)</t>
  </si>
  <si>
    <t>AMMA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</si>
  <si>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</si>
  <si>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</si>
  <si>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</si>
  <si>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</si>
  <si>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</si>
  <si>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</si>
  <si>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</si>
  <si>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>20% rate – highest cost loan</t>
  </si>
  <si>
    <t>Krishnamoorthy</t>
  </si>
  <si>
    <t xml:space="preserve">GRINDER &amp; FAN </t>
  </si>
  <si>
    <t>SBI Personal
(SivaPriya)</t>
  </si>
  <si>
    <t>EMI FROM JULY 1740</t>
  </si>
  <si>
    <t>Jan 2028</t>
  </si>
  <si>
    <t>Thandal</t>
  </si>
  <si>
    <t>SivaPriya</t>
  </si>
  <si>
    <t>From Raghuls 6250                           2 June</t>
  </si>
  <si>
    <t>21 EMIs left</t>
  </si>
  <si>
    <t>D Mart</t>
  </si>
  <si>
    <t>Equitas Home
(Appa)</t>
  </si>
  <si>
    <t>Naresh gave 11,000.                     6/2/2026</t>
  </si>
  <si>
    <t xml:space="preserve">snacks </t>
  </si>
  <si>
    <t>Income</t>
  </si>
  <si>
    <t>Veera kattu potathu</t>
  </si>
  <si>
    <t>Home Loan</t>
  </si>
  <si>
    <t>Dec 2030</t>
  </si>
  <si>
    <t>Total EMI</t>
  </si>
  <si>
    <t xml:space="preserve">TVS </t>
  </si>
  <si>
    <t>(4K from Raghuls&amp; 1k Naresh).  6/4/2026</t>
  </si>
  <si>
    <t>NareshKumar</t>
  </si>
  <si>
    <t xml:space="preserve">Home expense </t>
  </si>
  <si>
    <t>Expenses</t>
  </si>
  <si>
    <t xml:space="preserve">From Gold Loan.                                 5 June </t>
  </si>
  <si>
    <t>No prepayment penalty!</t>
  </si>
  <si>
    <t>Free Cash</t>
  </si>
  <si>
    <t>Veera Scooty EMI</t>
  </si>
  <si>
    <t>Credit Card</t>
  </si>
  <si>
    <t>Events</t>
  </si>
  <si>
    <t xml:space="preserve">எண்ணெய் செட்டியார் </t>
  </si>
  <si>
    <t>Oct 2026</t>
  </si>
  <si>
    <t xml:space="preserve">Plumper </t>
  </si>
  <si>
    <t xml:space="preserve">Sivapriya Tablet </t>
  </si>
  <si>
    <t>Urgent – 36-48% interest!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</si>
  <si>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</si>
  <si>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</si>
  <si>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</si>
  <si>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</si>
  <si>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</si>
  <si>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</si>
  <si>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</si>
  <si>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</si>
  <si>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>DIO Loan</t>
  </si>
  <si>
    <t xml:space="preserve">From Gold Loan.                                 7 June </t>
  </si>
  <si>
    <t>15 EMIs left</t>
  </si>
  <si>
    <t>Muthu Chithapa</t>
  </si>
  <si>
    <t>Samasta 1</t>
  </si>
  <si>
    <t>Samasta 2</t>
  </si>
  <si>
    <t xml:space="preserve">Scooty service </t>
  </si>
  <si>
    <t xml:space="preserve">From Gold Loan.                                 8 June </t>
  </si>
  <si>
    <t>Samasta 3</t>
  </si>
  <si>
    <t>Veera Dress</t>
  </si>
  <si>
    <t>Samasta 4</t>
  </si>
  <si>
    <t>ESAF</t>
  </si>
  <si>
    <t xml:space="preserve">10,000 from Naresh </t>
  </si>
  <si>
    <t>ESAF 1</t>
  </si>
  <si>
    <t>Net Recharge</t>
  </si>
  <si>
    <t>Microfinance</t>
  </si>
  <si>
    <t>ESAF 2</t>
  </si>
  <si>
    <t>Appa</t>
  </si>
  <si>
    <t>Mar 2027</t>
  </si>
  <si>
    <t>AMMA - Microloan</t>
  </si>
  <si>
    <t>ESAF 3</t>
  </si>
  <si>
    <t>3rd Thu every month</t>
  </si>
  <si>
    <t>Cylinder</t>
  </si>
  <si>
    <t>Aasirvad 1</t>
  </si>
  <si>
    <t>Other loan</t>
  </si>
  <si>
    <t>Aasirvad 1 2</t>
  </si>
  <si>
    <t>Jul 2026</t>
  </si>
  <si>
    <t>Movie</t>
  </si>
  <si>
    <t>Mat</t>
  </si>
  <si>
    <t>Other Loan</t>
  </si>
  <si>
    <t>Ends Jul 2026 – almost done!</t>
  </si>
  <si>
    <t>Gold coin -2 grams</t>
  </si>
  <si>
    <t>EMI</t>
  </si>
  <si>
    <t xml:space="preserve">credit card.                                        25 June 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</si>
  <si>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</si>
  <si>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</si>
  <si>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</si>
  <si>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</si>
  <si>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</si>
  <si>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</si>
  <si>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</si>
  <si>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</si>
  <si>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</si>
  <si>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</si>
  <si>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</si>
  <si>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</si>
  <si>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</si>
  <si>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</si>
  <si>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</si>
  <si>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</si>
  <si>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</si>
  <si>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</si>
  <si>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</si>
  <si>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</si>
  <si>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</si>
  <si>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</si>
  <si>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</si>
  <si>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</si>
  <si>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</si>
  <si>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</si>
  <si>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</si>
  <si>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</si>
  <si>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</si>
  <si>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</si>
  <si>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</si>
  <si>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</si>
  <si>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</si>
  <si>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</si>
  <si>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</si>
  <si>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</si>
  <si>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</si>
  <si>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</si>
  <si>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</si>
  <si>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</si>
  <si>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</si>
  <si>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</si>
  <si>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</si>
  <si>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</si>
  <si>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</si>
  <si>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</si>
  <si>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</si>
  <si>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</si>
  <si>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</si>
  <si>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</si>
  <si>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</si>
  <si>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Aug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</si>
  <si>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</si>
  <si>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</si>
  <si>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</si>
  <si>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</si>
  <si>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</si>
  <si>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</si>
  <si>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</si>
  <si>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</si>
  <si>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</si>
  <si>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</si>
  <si>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</si>
  <si>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</si>
  <si>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</si>
  <si>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</si>
  <si>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</si>
  <si>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</si>
  <si>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</si>
  <si>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</si>
  <si>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</si>
  <si>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</si>
  <si>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Expense</t>
  </si>
  <si>
    <t>MILESTONE CALENDAR</t>
  </si>
  <si>
    <t>Amma</t>
  </si>
  <si>
    <t>Event</t>
  </si>
  <si>
    <t xml:space="preserve">Credit card </t>
  </si>
  <si>
    <t>Action / Impact</t>
  </si>
  <si>
    <t xml:space="preserve">veera Licence </t>
  </si>
  <si>
    <t>Samasta 2 ends</t>
  </si>
  <si>
    <t xml:space="preserve">Bank gold interest </t>
  </si>
  <si>
    <t>₹2,650/mo freed → redirect to Credit Card</t>
  </si>
  <si>
    <t xml:space="preserve">Mahesh </t>
  </si>
  <si>
    <t xml:space="preserve">Petrol </t>
  </si>
  <si>
    <t>ESAF 2 ends</t>
  </si>
  <si>
    <t>₹3,235/mo freed → total ₹5,885 extra</t>
  </si>
  <si>
    <t>Snacks</t>
  </si>
  <si>
    <t>Nov 2026</t>
  </si>
  <si>
    <t>TVS + DIO end</t>
  </si>
  <si>
    <t>₹10,725/mo freed → total ₹16,610 extra</t>
  </si>
  <si>
    <t>Thiliban</t>
  </si>
  <si>
    <t>Jan 2027</t>
  </si>
  <si>
    <t>ESAF 1 ends</t>
  </si>
  <si>
    <t>Gold stud</t>
  </si>
  <si>
    <t>₹5,390/mo freed → total ₹22,000 extra</t>
  </si>
  <si>
    <t>Old gold(2grams)</t>
  </si>
  <si>
    <t>Auto</t>
  </si>
  <si>
    <t xml:space="preserve">Total amount </t>
  </si>
  <si>
    <t>SBI + Samasta 1 end</t>
  </si>
  <si>
    <t>₹15,000/mo freed → total ₹37,000 extra!</t>
  </si>
  <si>
    <t xml:space="preserve">Amma Tablet </t>
  </si>
  <si>
    <t>Jun 2027</t>
  </si>
  <si>
    <t>Car purchase window</t>
  </si>
  <si>
    <t>Buy ₹12–15L car — EMI fits comfortably</t>
  </si>
  <si>
    <t>Loan name</t>
  </si>
  <si>
    <t>Name</t>
  </si>
  <si>
    <t>Last date</t>
  </si>
  <si>
    <t>ESAF 3 ends</t>
  </si>
  <si>
    <t>Samasta</t>
  </si>
  <si>
    <t>More microfinance cleared</t>
  </si>
  <si>
    <t>3rd Thurs of every month</t>
  </si>
  <si>
    <t>Kalyani</t>
  </si>
  <si>
    <t>ESAF 2 + Samasta 1 cleared</t>
  </si>
  <si>
    <t>Almost all micro loans done</t>
  </si>
  <si>
    <t>Sangeetha</t>
  </si>
  <si>
    <t>SBI fully closed</t>
  </si>
  <si>
    <t>Major milestone — only SMFG + Home remain</t>
  </si>
  <si>
    <t xml:space="preserve">Priya </t>
  </si>
  <si>
    <t>All microfinance cleared</t>
  </si>
  <si>
    <t>Thavamani</t>
  </si>
  <si>
    <t>₹57K/mo free — only 2 loans left</t>
  </si>
  <si>
    <t>Jun 2029</t>
  </si>
  <si>
    <t xml:space="preserve">2nd Wednesday </t>
  </si>
  <si>
    <t>Manimozhi</t>
  </si>
  <si>
    <t>SMFG 0% foreclosure zone</t>
  </si>
  <si>
    <t>Close SMFG loan with ZERO penalty!</t>
  </si>
  <si>
    <t>Sivapriya</t>
  </si>
  <si>
    <t>Equitas Home Loan ends</t>
  </si>
  <si>
    <t>Pazhaniyammal</t>
  </si>
  <si>
    <t>Debt FREE! (or close earlier with prepayment)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</si>
  <si>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</si>
  <si>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</si>
  <si>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</si>
  <si>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</si>
  <si>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</si>
  <si>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</si>
  <si>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</si>
  <si>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</si>
  <si>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</si>
  <si>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</si>
  <si>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</si>
  <si>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</si>
  <si>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</si>
  <si>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</si>
  <si>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</si>
  <si>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</si>
  <si>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</si>
  <si>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</si>
  <si>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</si>
  <si>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</si>
  <si>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>SBI Personal Loan - SivaPriya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</si>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</sst>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5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5" fillId="12" fontId="14" numFmtId="16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6" fillId="11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5" fillId="14" fontId="14" numFmtId="49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5" fillId="14" fontId="14" numFmtId="169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8" t="s">
        <v>5</v>
      </c>
      <c r="C4" s="10">
        <v>40000.0</v>
      </c>
    </row>
    <row r="5" ht="51.75" customHeight="1">
      <c r="B5" s="11" t="s">
        <v>9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22</v>
      </c>
      <c r="C7" s="20" t="s">
        <v>23</v>
      </c>
      <c r="D7" s="20" t="s">
        <v>7</v>
      </c>
      <c r="E7" s="20" t="s">
        <v>25</v>
      </c>
      <c r="F7" s="20" t="s">
        <v>28</v>
      </c>
      <c r="G7" s="20" t="s">
        <v>30</v>
      </c>
      <c r="H7" s="20" t="s">
        <v>10</v>
      </c>
    </row>
    <row r="8" ht="21.75" customHeight="1">
      <c r="B8" s="29" t="s">
        <v>31</v>
      </c>
      <c r="C8" s="32" t="s">
        <v>32</v>
      </c>
      <c r="D8" s="34" t="s">
        <v>33</v>
      </c>
      <c r="E8" s="34" t="s">
        <v>34</v>
      </c>
      <c r="F8" s="35">
        <v>59.0</v>
      </c>
      <c r="G8" s="37">
        <v>1563146.0</v>
      </c>
      <c r="H8" s="38" t="s">
        <v>37</v>
      </c>
    </row>
    <row r="9" ht="21.75" customHeight="1">
      <c r="B9" s="29" t="s">
        <v>40</v>
      </c>
      <c r="C9" s="37">
        <v>11839.0</v>
      </c>
      <c r="D9" s="34" t="s">
        <v>33</v>
      </c>
      <c r="E9" s="34" t="s">
        <v>42</v>
      </c>
      <c r="F9" s="35">
        <v>20.0</v>
      </c>
      <c r="G9" s="37">
        <v>236780.0</v>
      </c>
      <c r="H9" s="38" t="s">
        <v>46</v>
      </c>
    </row>
    <row r="10" ht="21.75" customHeight="1">
      <c r="B10" s="40" t="s">
        <v>48</v>
      </c>
      <c r="C10" s="43">
        <v>15250.0</v>
      </c>
      <c r="D10" s="44" t="s">
        <v>53</v>
      </c>
      <c r="E10" s="44" t="s">
        <v>54</v>
      </c>
      <c r="F10" s="46">
        <v>55.0</v>
      </c>
      <c r="G10" s="43">
        <v>838750.0</v>
      </c>
      <c r="H10" s="47" t="s">
        <v>62</v>
      </c>
    </row>
    <row r="11" ht="21.75" customHeight="1">
      <c r="B11" s="29" t="s">
        <v>65</v>
      </c>
      <c r="C11" s="50">
        <v>18972.0</v>
      </c>
      <c r="D11" s="34" t="s">
        <v>65</v>
      </c>
      <c r="E11" s="34" t="s">
        <v>68</v>
      </c>
      <c r="F11" s="35">
        <v>5.0</v>
      </c>
      <c r="G11" s="37">
        <v>94860.0</v>
      </c>
      <c r="H11" s="38" t="s">
        <v>71</v>
      </c>
    </row>
    <row r="12" ht="21.75" customHeight="1">
      <c r="B12" s="52" t="s">
        <v>73</v>
      </c>
      <c r="C12" s="53">
        <v>5087.0</v>
      </c>
      <c r="D12" s="54" t="s">
        <v>76</v>
      </c>
      <c r="E12" s="54" t="s">
        <v>78</v>
      </c>
      <c r="F12" s="55">
        <v>14.0</v>
      </c>
      <c r="G12" s="53">
        <v>71218.0</v>
      </c>
      <c r="H12" s="56" t="s">
        <v>82</v>
      </c>
    </row>
    <row r="13" ht="21.75" customHeight="1">
      <c r="B13" s="52" t="s">
        <v>80</v>
      </c>
      <c r="C13" s="53">
        <v>5638.0</v>
      </c>
      <c r="D13" s="54" t="s">
        <v>76</v>
      </c>
      <c r="E13" s="54" t="s">
        <v>78</v>
      </c>
      <c r="F13" s="55">
        <v>14.0</v>
      </c>
      <c r="G13" s="53">
        <v>78932.0</v>
      </c>
      <c r="H13" s="56" t="s">
        <v>82</v>
      </c>
    </row>
    <row r="14" ht="21.75" customHeight="1">
      <c r="B14" s="57" t="s">
        <v>84</v>
      </c>
      <c r="C14" s="58">
        <v>3150.0</v>
      </c>
      <c r="D14" s="59" t="s">
        <v>95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85</v>
      </c>
      <c r="C15" s="58">
        <v>2650.0</v>
      </c>
      <c r="D15" s="59" t="s">
        <v>95</v>
      </c>
      <c r="E15" s="59" t="s">
        <v>106</v>
      </c>
      <c r="F15" s="60">
        <v>2.0</v>
      </c>
      <c r="G15" s="58">
        <v>5300.0</v>
      </c>
      <c r="H15" s="61" t="s">
        <v>110</v>
      </c>
    </row>
    <row r="16" ht="21.75" customHeight="1">
      <c r="B16" s="57" t="s">
        <v>88</v>
      </c>
      <c r="C16" s="58">
        <v>2600.0</v>
      </c>
      <c r="D16" s="59" t="s">
        <v>95</v>
      </c>
      <c r="E16" s="59" t="s">
        <v>114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90</v>
      </c>
      <c r="C17" s="58">
        <v>2680.0</v>
      </c>
      <c r="D17" s="59" t="s">
        <v>95</v>
      </c>
      <c r="E17" s="59" t="s">
        <v>116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93</v>
      </c>
      <c r="C18" s="58">
        <v>5390.0</v>
      </c>
      <c r="D18" s="59" t="s">
        <v>95</v>
      </c>
      <c r="E18" s="59" t="s">
        <v>42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96</v>
      </c>
      <c r="C19" s="58">
        <v>3235.0</v>
      </c>
      <c r="D19" s="59" t="s">
        <v>95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100</v>
      </c>
      <c r="C20" s="58">
        <v>1230.0</v>
      </c>
      <c r="D20" s="59" t="s">
        <v>95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6" t="s">
        <v>103</v>
      </c>
      <c r="C21" s="67">
        <v>2970.0</v>
      </c>
      <c r="D21" s="59" t="s">
        <v>95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95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109</v>
      </c>
      <c r="C23" s="58">
        <v>5000.0</v>
      </c>
      <c r="D23" s="59" t="s">
        <v>95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4"/>
      <c r="D28" s="24"/>
      <c r="E28" s="24"/>
      <c r="F28" s="24"/>
      <c r="G28" s="24"/>
      <c r="H28" s="33"/>
    </row>
    <row r="29" ht="15.75" customHeight="1">
      <c r="B29" s="77" t="s">
        <v>131</v>
      </c>
      <c r="C29" s="24"/>
      <c r="D29" s="24"/>
      <c r="E29" s="24"/>
      <c r="F29" s="24"/>
      <c r="G29" s="24"/>
      <c r="H29" s="79"/>
    </row>
    <row r="30" ht="15.75" customHeight="1">
      <c r="B30" s="77" t="s">
        <v>132</v>
      </c>
      <c r="C30" s="24"/>
      <c r="D30" s="24"/>
      <c r="E30" s="24"/>
      <c r="F30" s="24"/>
      <c r="G30" s="24"/>
      <c r="H30" s="79"/>
    </row>
    <row r="31" ht="15.75" customHeight="1">
      <c r="B31" s="81" t="s">
        <v>133</v>
      </c>
      <c r="C31" s="24"/>
      <c r="D31" s="24"/>
      <c r="E31" s="24"/>
      <c r="F31" s="24"/>
      <c r="G31" s="24"/>
      <c r="H31" s="79"/>
    </row>
    <row r="32" ht="15.75" customHeight="1">
      <c r="B32" s="82" t="s">
        <v>134</v>
      </c>
      <c r="C32" s="24"/>
      <c r="D32" s="24"/>
      <c r="E32" s="24"/>
      <c r="F32" s="24"/>
      <c r="G32" s="24"/>
      <c r="H32" s="79"/>
    </row>
    <row r="33" ht="15.75" customHeight="1">
      <c r="B33" s="84" t="s">
        <v>135</v>
      </c>
      <c r="C33" s="24"/>
      <c r="D33" s="24"/>
      <c r="E33" s="24"/>
      <c r="F33" s="24"/>
      <c r="G33" s="24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3"/>
    </row>
    <row r="2" ht="15.75" customHeight="1">
      <c r="B2" s="36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3"/>
    </row>
    <row r="3" ht="7.5" customHeight="1"/>
    <row r="4" ht="36.0" customHeight="1">
      <c r="B4" s="41" t="s">
        <v>6</v>
      </c>
      <c r="C4" s="41" t="s">
        <v>51</v>
      </c>
      <c r="D4" s="41" t="s">
        <v>55</v>
      </c>
      <c r="E4" s="41" t="s">
        <v>60</v>
      </c>
      <c r="F4" s="41" t="s">
        <v>63</v>
      </c>
      <c r="G4" s="41" t="s">
        <v>66</v>
      </c>
      <c r="H4" s="51" t="s">
        <v>31</v>
      </c>
      <c r="I4" s="51" t="s">
        <v>40</v>
      </c>
      <c r="J4" s="51" t="s">
        <v>48</v>
      </c>
      <c r="K4" s="51" t="s">
        <v>65</v>
      </c>
      <c r="L4" s="51" t="s">
        <v>73</v>
      </c>
      <c r="M4" s="51" t="s">
        <v>80</v>
      </c>
      <c r="N4" s="51" t="s">
        <v>84</v>
      </c>
      <c r="O4" s="51" t="s">
        <v>85</v>
      </c>
      <c r="P4" s="51" t="s">
        <v>88</v>
      </c>
      <c r="Q4" s="51" t="s">
        <v>90</v>
      </c>
      <c r="R4" s="51" t="s">
        <v>93</v>
      </c>
      <c r="S4" s="51" t="s">
        <v>96</v>
      </c>
      <c r="T4" s="51" t="s">
        <v>100</v>
      </c>
      <c r="U4" s="62" t="s">
        <v>103</v>
      </c>
      <c r="V4" s="62" t="s">
        <v>105</v>
      </c>
      <c r="W4" s="51" t="s">
        <v>109</v>
      </c>
      <c r="X4" s="51" t="s">
        <v>112</v>
      </c>
    </row>
    <row r="5" ht="22.5" customHeight="1">
      <c r="B5" s="64" t="s">
        <v>115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3">
        <v>18972.0</v>
      </c>
      <c r="L5" s="85">
        <v>4500.0</v>
      </c>
      <c r="M5" s="85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106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165</v>
      </c>
      <c r="C7" s="107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3">
        <v>18972.0</v>
      </c>
      <c r="L7" s="85">
        <v>4500.0</v>
      </c>
      <c r="M7" s="85">
        <v>5000.0</v>
      </c>
      <c r="N7" s="80">
        <v>3150.0</v>
      </c>
      <c r="O7" s="128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35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8"/>
      <c r="H8" s="141">
        <v>26494.0</v>
      </c>
      <c r="I8" s="141">
        <v>11839.0</v>
      </c>
      <c r="J8" s="141">
        <v>15250.0</v>
      </c>
      <c r="K8" s="149">
        <v>18972.0</v>
      </c>
      <c r="L8" s="85">
        <v>4500.0</v>
      </c>
      <c r="M8" s="85">
        <v>5000.0</v>
      </c>
      <c r="N8" s="141">
        <v>3150.0</v>
      </c>
      <c r="O8" s="128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78">
        <v>1740.0</v>
      </c>
    </row>
    <row r="9" ht="22.5" customHeight="1">
      <c r="B9" s="86" t="s">
        <v>68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277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2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35" t="s">
        <v>201</v>
      </c>
      <c r="C10" s="13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38"/>
      <c r="H10" s="141">
        <v>26494.0</v>
      </c>
      <c r="I10" s="141">
        <v>11839.0</v>
      </c>
      <c r="J10" s="141">
        <v>15250.0</v>
      </c>
      <c r="K10" s="128"/>
      <c r="L10" s="85">
        <v>4500.0</v>
      </c>
      <c r="M10" s="85">
        <v>5000.0</v>
      </c>
      <c r="N10" s="141">
        <v>3150.0</v>
      </c>
      <c r="O10" s="128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78">
        <v>1740.0</v>
      </c>
    </row>
    <row r="11" ht="22.5" customHeight="1">
      <c r="B11" s="64" t="s">
        <v>302</v>
      </c>
      <c r="C11" s="107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28"/>
      <c r="L11" s="85">
        <v>4500.0</v>
      </c>
      <c r="M11" s="85">
        <v>5000.0</v>
      </c>
      <c r="N11" s="80">
        <v>3150.0</v>
      </c>
      <c r="O11" s="128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35" t="s">
        <v>205</v>
      </c>
      <c r="C12" s="13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38"/>
      <c r="H12" s="141">
        <v>26494.0</v>
      </c>
      <c r="I12" s="141">
        <v>11839.0</v>
      </c>
      <c r="J12" s="141">
        <v>15250.0</v>
      </c>
      <c r="K12" s="128"/>
      <c r="L12" s="85">
        <v>4500.0</v>
      </c>
      <c r="M12" s="85">
        <v>5000.0</v>
      </c>
      <c r="N12" s="141">
        <v>3150.0</v>
      </c>
      <c r="O12" s="128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28"/>
      <c r="L13" s="85">
        <v>4500.0</v>
      </c>
      <c r="M13" s="85">
        <v>5000.0</v>
      </c>
      <c r="N13" s="89">
        <v>3150.0</v>
      </c>
      <c r="O13" s="12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98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28"/>
      <c r="L14" s="85">
        <v>4500.0</v>
      </c>
      <c r="M14" s="85">
        <v>5000.0</v>
      </c>
      <c r="N14" s="177">
        <v>3150.0</v>
      </c>
      <c r="O14" s="12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4" t="s">
        <v>305</v>
      </c>
      <c r="C15" s="107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28"/>
      <c r="L15" s="85">
        <v>4500.0</v>
      </c>
      <c r="M15" s="85">
        <v>5000.0</v>
      </c>
      <c r="N15" s="178"/>
      <c r="O15" s="128"/>
      <c r="P15" s="80">
        <v>2600.0</v>
      </c>
      <c r="Q15" s="80">
        <v>2680.0</v>
      </c>
      <c r="R15" s="80">
        <v>5390.0</v>
      </c>
      <c r="S15" s="80">
        <v>3235.0</v>
      </c>
      <c r="T15" s="178"/>
      <c r="U15" s="80">
        <v>5920.0</v>
      </c>
      <c r="V15" s="80">
        <v>5920.0</v>
      </c>
      <c r="W15" s="80">
        <v>5000.0</v>
      </c>
      <c r="X15" s="141"/>
    </row>
    <row r="16" ht="22.5" customHeight="1">
      <c r="B16" s="135" t="s">
        <v>306</v>
      </c>
      <c r="C16" s="13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38"/>
      <c r="H16" s="141">
        <v>26494.0</v>
      </c>
      <c r="I16" s="141">
        <v>11839.0</v>
      </c>
      <c r="J16" s="141">
        <v>15250.0</v>
      </c>
      <c r="K16" s="128"/>
      <c r="L16" s="85">
        <v>4500.0</v>
      </c>
      <c r="M16" s="85">
        <v>5000.0</v>
      </c>
      <c r="N16" s="178"/>
      <c r="O16" s="128"/>
      <c r="P16" s="141">
        <v>2600.0</v>
      </c>
      <c r="Q16" s="141">
        <v>2680.0</v>
      </c>
      <c r="R16" s="141">
        <v>5390.0</v>
      </c>
      <c r="S16" s="141">
        <v>3235.0</v>
      </c>
      <c r="T16" s="178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79" t="s">
        <v>215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8"/>
      <c r="L17" s="85">
        <v>4500.0</v>
      </c>
      <c r="M17" s="85">
        <v>5000.0</v>
      </c>
      <c r="N17" s="178"/>
      <c r="O17" s="12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1"/>
    </row>
    <row r="18" ht="22.5" customHeight="1">
      <c r="B18" s="185" t="s">
        <v>78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8"/>
      <c r="L18" s="85">
        <v>4500.0</v>
      </c>
      <c r="M18" s="85">
        <v>5000.0</v>
      </c>
      <c r="N18" s="178"/>
      <c r="O18" s="12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1"/>
    </row>
    <row r="19" ht="22.5" customHeight="1">
      <c r="B19" s="64" t="s">
        <v>309</v>
      </c>
      <c r="C19" s="107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28"/>
      <c r="L19" s="178"/>
      <c r="M19" s="178"/>
      <c r="N19" s="178"/>
      <c r="O19" s="128"/>
      <c r="P19" s="80">
        <v>2600.0</v>
      </c>
      <c r="Q19" s="80">
        <v>2680.0</v>
      </c>
      <c r="R19" s="80">
        <v>5390.0</v>
      </c>
      <c r="S19" s="80">
        <v>3235.0</v>
      </c>
      <c r="T19" s="178"/>
      <c r="U19" s="80">
        <v>5920.0</v>
      </c>
      <c r="V19" s="80">
        <v>5920.0</v>
      </c>
      <c r="W19" s="80">
        <v>5000.0</v>
      </c>
      <c r="X19" s="141"/>
    </row>
    <row r="20" ht="15.75" customHeight="1">
      <c r="B20" s="135" t="s">
        <v>310</v>
      </c>
      <c r="C20" s="13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38"/>
      <c r="H20" s="141">
        <v>26494.0</v>
      </c>
      <c r="I20" s="141">
        <v>11839.0</v>
      </c>
      <c r="J20" s="141">
        <v>15250.0</v>
      </c>
      <c r="K20" s="128"/>
      <c r="L20" s="178"/>
      <c r="M20" s="178"/>
      <c r="N20" s="178"/>
      <c r="O20" s="128"/>
      <c r="P20" s="141">
        <v>2600.0</v>
      </c>
      <c r="Q20" s="141">
        <v>2680.0</v>
      </c>
      <c r="R20" s="141">
        <v>5390.0</v>
      </c>
      <c r="S20" s="141">
        <v>3235.0</v>
      </c>
      <c r="T20" s="178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28"/>
      <c r="L21" s="178"/>
      <c r="M21" s="178"/>
      <c r="N21" s="178"/>
      <c r="O21" s="12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35" t="s">
        <v>312</v>
      </c>
      <c r="C22" s="13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38"/>
      <c r="H22" s="141">
        <v>26494.0</v>
      </c>
      <c r="I22" s="141">
        <v>11839.0</v>
      </c>
      <c r="J22" s="141">
        <v>15250.0</v>
      </c>
      <c r="K22" s="128"/>
      <c r="L22" s="178"/>
      <c r="M22" s="178"/>
      <c r="N22" s="178"/>
      <c r="O22" s="128"/>
      <c r="P22" s="141">
        <v>2600.0</v>
      </c>
      <c r="Q22" s="141">
        <v>2680.0</v>
      </c>
      <c r="R22" s="141">
        <v>5390.0</v>
      </c>
      <c r="S22" s="178"/>
      <c r="T22" s="178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4" t="s">
        <v>313</v>
      </c>
      <c r="C23" s="107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28"/>
      <c r="L23" s="178"/>
      <c r="M23" s="178"/>
      <c r="N23" s="178"/>
      <c r="O23" s="128"/>
      <c r="P23" s="80">
        <v>2600.0</v>
      </c>
      <c r="Q23" s="80">
        <v>2680.0</v>
      </c>
      <c r="R23" s="80">
        <v>5390.0</v>
      </c>
      <c r="S23" s="178"/>
      <c r="T23" s="178"/>
      <c r="U23" s="80">
        <v>5920.0</v>
      </c>
      <c r="V23" s="80">
        <v>5920.0</v>
      </c>
      <c r="W23" s="80">
        <v>5000.0</v>
      </c>
      <c r="X23" s="141"/>
    </row>
    <row r="24" ht="15.75" customHeight="1">
      <c r="B24" s="185" t="s">
        <v>42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8"/>
      <c r="L24" s="178"/>
      <c r="M24" s="178"/>
      <c r="N24" s="178"/>
      <c r="O24" s="12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1"/>
    </row>
    <row r="25" ht="15.75" customHeight="1">
      <c r="B25" s="64" t="s">
        <v>315</v>
      </c>
      <c r="C25" s="107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80">
        <v>26494.0</v>
      </c>
      <c r="I25" s="178"/>
      <c r="J25" s="80">
        <v>15250.0</v>
      </c>
      <c r="K25" s="128"/>
      <c r="L25" s="178"/>
      <c r="M25" s="178"/>
      <c r="N25" s="178"/>
      <c r="O25" s="128"/>
      <c r="P25" s="80">
        <v>2600.0</v>
      </c>
      <c r="Q25" s="80">
        <v>2680.0</v>
      </c>
      <c r="R25" s="178"/>
      <c r="S25" s="178"/>
      <c r="T25" s="178"/>
      <c r="U25" s="80">
        <v>5920.0</v>
      </c>
      <c r="V25" s="80">
        <v>5920.0</v>
      </c>
      <c r="W25" s="80">
        <v>5000.0</v>
      </c>
      <c r="X25" s="141"/>
    </row>
    <row r="26" ht="15.75" customHeight="1">
      <c r="B26" s="86" t="s">
        <v>114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28"/>
      <c r="L26" s="178"/>
      <c r="M26" s="178"/>
      <c r="N26" s="178"/>
      <c r="O26" s="12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28"/>
      <c r="L27" s="178"/>
      <c r="M27" s="178"/>
      <c r="N27" s="178"/>
      <c r="O27" s="12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35" t="s">
        <v>318</v>
      </c>
      <c r="C28" s="13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38"/>
      <c r="H28" s="141">
        <v>26494.0</v>
      </c>
      <c r="I28" s="178"/>
      <c r="J28" s="141">
        <v>15250.0</v>
      </c>
      <c r="K28" s="128"/>
      <c r="L28" s="178"/>
      <c r="M28" s="178"/>
      <c r="N28" s="178"/>
      <c r="O28" s="128"/>
      <c r="P28" s="178"/>
      <c r="Q28" s="178"/>
      <c r="R28" s="178"/>
      <c r="S28" s="178"/>
      <c r="T28" s="178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28"/>
      <c r="L29" s="178"/>
      <c r="M29" s="178"/>
      <c r="N29" s="178"/>
      <c r="O29" s="12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1"/>
    </row>
    <row r="30" ht="15.75" customHeight="1">
      <c r="B30" s="135" t="s">
        <v>320</v>
      </c>
      <c r="C30" s="13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38"/>
      <c r="H30" s="141">
        <v>26494.0</v>
      </c>
      <c r="I30" s="178"/>
      <c r="J30" s="141">
        <v>15250.0</v>
      </c>
      <c r="K30" s="128"/>
      <c r="L30" s="178"/>
      <c r="M30" s="178"/>
      <c r="N30" s="178"/>
      <c r="O30" s="128"/>
      <c r="P30" s="178"/>
      <c r="Q30" s="178"/>
      <c r="R30" s="178"/>
      <c r="S30" s="178"/>
      <c r="T30" s="178"/>
      <c r="U30" s="178"/>
      <c r="V30" s="178"/>
      <c r="W30" s="141">
        <v>5000.0</v>
      </c>
      <c r="X30" s="141"/>
    </row>
    <row r="31" ht="15.75" customHeight="1">
      <c r="B31" s="64" t="s">
        <v>321</v>
      </c>
      <c r="C31" s="107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80">
        <v>26494.0</v>
      </c>
      <c r="I31" s="178"/>
      <c r="J31" s="80">
        <v>15250.0</v>
      </c>
      <c r="K31" s="128"/>
      <c r="L31" s="178"/>
      <c r="M31" s="178"/>
      <c r="N31" s="178"/>
      <c r="O31" s="128"/>
      <c r="P31" s="178"/>
      <c r="Q31" s="178"/>
      <c r="R31" s="178"/>
      <c r="S31" s="178"/>
      <c r="T31" s="178"/>
      <c r="U31" s="178"/>
      <c r="V31" s="178"/>
      <c r="W31" s="80">
        <v>5000.0</v>
      </c>
      <c r="X31" s="141"/>
    </row>
    <row r="32" ht="15.75" customHeight="1">
      <c r="B32" s="135" t="s">
        <v>322</v>
      </c>
      <c r="C32" s="13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38"/>
      <c r="H32" s="141">
        <v>26494.0</v>
      </c>
      <c r="I32" s="178"/>
      <c r="J32" s="141">
        <v>15250.0</v>
      </c>
      <c r="K32" s="128"/>
      <c r="L32" s="178"/>
      <c r="M32" s="178"/>
      <c r="N32" s="178"/>
      <c r="O32" s="128"/>
      <c r="P32" s="178"/>
      <c r="Q32" s="178"/>
      <c r="R32" s="178"/>
      <c r="S32" s="178"/>
      <c r="T32" s="178"/>
      <c r="U32" s="178"/>
      <c r="V32" s="178"/>
      <c r="W32" s="141">
        <v>5000.0</v>
      </c>
      <c r="X32" s="141"/>
    </row>
    <row r="33" ht="15.75" customHeight="1">
      <c r="B33" s="64" t="s">
        <v>323</v>
      </c>
      <c r="C33" s="107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80">
        <v>26494.0</v>
      </c>
      <c r="I33" s="178"/>
      <c r="J33" s="80">
        <v>15250.0</v>
      </c>
      <c r="K33" s="128"/>
      <c r="L33" s="178"/>
      <c r="M33" s="178"/>
      <c r="N33" s="178"/>
      <c r="O33" s="128"/>
      <c r="P33" s="178"/>
      <c r="Q33" s="178"/>
      <c r="R33" s="178"/>
      <c r="S33" s="178"/>
      <c r="T33" s="178"/>
      <c r="U33" s="178"/>
      <c r="V33" s="178"/>
      <c r="W33" s="80">
        <v>5000.0</v>
      </c>
      <c r="X33" s="141"/>
    </row>
    <row r="34" ht="15.75" customHeight="1">
      <c r="B34" s="135" t="s">
        <v>324</v>
      </c>
      <c r="C34" s="13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38"/>
      <c r="H34" s="141">
        <v>26494.0</v>
      </c>
      <c r="I34" s="178"/>
      <c r="J34" s="141">
        <v>15250.0</v>
      </c>
      <c r="K34" s="128"/>
      <c r="L34" s="178"/>
      <c r="M34" s="178"/>
      <c r="N34" s="178"/>
      <c r="O34" s="128"/>
      <c r="P34" s="178"/>
      <c r="Q34" s="178"/>
      <c r="R34" s="178"/>
      <c r="S34" s="178"/>
      <c r="T34" s="178"/>
      <c r="U34" s="178"/>
      <c r="V34" s="178"/>
      <c r="W34" s="141">
        <v>5000.0</v>
      </c>
      <c r="X34" s="141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28"/>
      <c r="L35" s="178"/>
      <c r="M35" s="178"/>
      <c r="N35" s="178"/>
      <c r="O35" s="128"/>
      <c r="P35" s="178"/>
      <c r="Q35" s="178"/>
      <c r="R35" s="178"/>
      <c r="S35" s="178"/>
      <c r="T35" s="178"/>
      <c r="U35" s="178"/>
      <c r="V35" s="178"/>
      <c r="W35" s="177">
        <v>5000.0</v>
      </c>
      <c r="X35" s="141"/>
    </row>
    <row r="36" ht="15.75" customHeight="1">
      <c r="B36" s="135" t="s">
        <v>326</v>
      </c>
      <c r="C36" s="13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38"/>
      <c r="H36" s="141">
        <v>26494.0</v>
      </c>
      <c r="I36" s="178"/>
      <c r="J36" s="141">
        <v>15250.0</v>
      </c>
      <c r="K36" s="128"/>
      <c r="L36" s="178"/>
      <c r="M36" s="178"/>
      <c r="N36" s="178"/>
      <c r="O36" s="12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107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80">
        <v>26494.0</v>
      </c>
      <c r="I37" s="178"/>
      <c r="J37" s="80">
        <v>15250.0</v>
      </c>
      <c r="K37" s="128"/>
      <c r="L37" s="178"/>
      <c r="M37" s="178"/>
      <c r="N37" s="178"/>
      <c r="O37" s="12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5" t="s">
        <v>328</v>
      </c>
      <c r="C38" s="13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38"/>
      <c r="H38" s="141">
        <v>26494.0</v>
      </c>
      <c r="I38" s="178"/>
      <c r="J38" s="141">
        <v>15250.0</v>
      </c>
      <c r="K38" s="128"/>
      <c r="L38" s="178"/>
      <c r="M38" s="178"/>
      <c r="N38" s="178"/>
      <c r="O38" s="12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107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80">
        <v>26494.0</v>
      </c>
      <c r="I39" s="178"/>
      <c r="J39" s="80">
        <v>15250.0</v>
      </c>
      <c r="K39" s="128"/>
      <c r="L39" s="178"/>
      <c r="M39" s="178"/>
      <c r="N39" s="178"/>
      <c r="O39" s="12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5" t="s">
        <v>330</v>
      </c>
      <c r="C40" s="13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38"/>
      <c r="H40" s="141">
        <v>26494.0</v>
      </c>
      <c r="I40" s="178"/>
      <c r="J40" s="141">
        <v>15250.0</v>
      </c>
      <c r="K40" s="128"/>
      <c r="L40" s="178"/>
      <c r="M40" s="178"/>
      <c r="N40" s="178"/>
      <c r="O40" s="12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235</v>
      </c>
      <c r="C41" s="107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80">
        <v>26494.0</v>
      </c>
      <c r="I41" s="178"/>
      <c r="J41" s="80">
        <v>15250.0</v>
      </c>
      <c r="K41" s="128"/>
      <c r="L41" s="178"/>
      <c r="M41" s="178"/>
      <c r="N41" s="178"/>
      <c r="O41" s="12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5" t="s">
        <v>332</v>
      </c>
      <c r="C42" s="13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38"/>
      <c r="H42" s="141">
        <v>26494.0</v>
      </c>
      <c r="I42" s="178"/>
      <c r="J42" s="141">
        <v>15250.0</v>
      </c>
      <c r="K42" s="128"/>
      <c r="L42" s="178"/>
      <c r="M42" s="178"/>
      <c r="N42" s="178"/>
      <c r="O42" s="12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107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80">
        <v>26494.0</v>
      </c>
      <c r="I43" s="178"/>
      <c r="J43" s="80">
        <v>15250.0</v>
      </c>
      <c r="K43" s="128"/>
      <c r="L43" s="178"/>
      <c r="M43" s="178"/>
      <c r="N43" s="178"/>
      <c r="O43" s="12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5" t="s">
        <v>334</v>
      </c>
      <c r="C44" s="13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38"/>
      <c r="H44" s="141">
        <v>26494.0</v>
      </c>
      <c r="I44" s="178"/>
      <c r="J44" s="141">
        <v>15250.0</v>
      </c>
      <c r="K44" s="128"/>
      <c r="L44" s="178"/>
      <c r="M44" s="178"/>
      <c r="N44" s="178"/>
      <c r="O44" s="12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107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80">
        <v>26494.0</v>
      </c>
      <c r="I45" s="178"/>
      <c r="J45" s="80">
        <v>15250.0</v>
      </c>
      <c r="K45" s="128"/>
      <c r="L45" s="178"/>
      <c r="M45" s="178"/>
      <c r="N45" s="178"/>
      <c r="O45" s="12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5" t="s">
        <v>336</v>
      </c>
      <c r="C46" s="13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38"/>
      <c r="H46" s="141">
        <v>26494.0</v>
      </c>
      <c r="I46" s="178"/>
      <c r="J46" s="141">
        <v>15250.0</v>
      </c>
      <c r="K46" s="128"/>
      <c r="L46" s="178"/>
      <c r="M46" s="178"/>
      <c r="N46" s="178"/>
      <c r="O46" s="12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107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80">
        <v>26494.0</v>
      </c>
      <c r="I47" s="178"/>
      <c r="J47" s="80">
        <v>15250.0</v>
      </c>
      <c r="K47" s="128"/>
      <c r="L47" s="178"/>
      <c r="M47" s="178"/>
      <c r="N47" s="178"/>
      <c r="O47" s="12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5" t="s">
        <v>338</v>
      </c>
      <c r="C48" s="13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38"/>
      <c r="H48" s="141">
        <v>26494.0</v>
      </c>
      <c r="I48" s="178"/>
      <c r="J48" s="141">
        <v>15250.0</v>
      </c>
      <c r="K48" s="128"/>
      <c r="L48" s="178"/>
      <c r="M48" s="178"/>
      <c r="N48" s="178"/>
      <c r="O48" s="12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107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80">
        <v>26494.0</v>
      </c>
      <c r="I49" s="178"/>
      <c r="J49" s="80">
        <v>15250.0</v>
      </c>
      <c r="K49" s="128"/>
      <c r="L49" s="178"/>
      <c r="M49" s="178"/>
      <c r="N49" s="178"/>
      <c r="O49" s="12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5" t="s">
        <v>340</v>
      </c>
      <c r="C50" s="13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38"/>
      <c r="H50" s="141">
        <v>26494.0</v>
      </c>
      <c r="I50" s="178"/>
      <c r="J50" s="141">
        <v>15250.0</v>
      </c>
      <c r="K50" s="128"/>
      <c r="L50" s="178"/>
      <c r="M50" s="178"/>
      <c r="N50" s="178"/>
      <c r="O50" s="12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107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80">
        <v>26494.0</v>
      </c>
      <c r="I51" s="178"/>
      <c r="J51" s="80">
        <v>15250.0</v>
      </c>
      <c r="K51" s="128"/>
      <c r="L51" s="178"/>
      <c r="M51" s="178"/>
      <c r="N51" s="178"/>
      <c r="O51" s="12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5" t="s">
        <v>342</v>
      </c>
      <c r="C52" s="13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38"/>
      <c r="H52" s="141">
        <v>26494.0</v>
      </c>
      <c r="I52" s="178"/>
      <c r="J52" s="141">
        <v>15250.0</v>
      </c>
      <c r="K52" s="128"/>
      <c r="L52" s="178"/>
      <c r="M52" s="178"/>
      <c r="N52" s="178"/>
      <c r="O52" s="12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107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80">
        <v>26494.0</v>
      </c>
      <c r="I53" s="178"/>
      <c r="J53" s="80">
        <v>15250.0</v>
      </c>
      <c r="K53" s="128"/>
      <c r="L53" s="178"/>
      <c r="M53" s="178"/>
      <c r="N53" s="178"/>
      <c r="O53" s="12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5" t="s">
        <v>344</v>
      </c>
      <c r="C54" s="13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38"/>
      <c r="H54" s="141">
        <v>26494.0</v>
      </c>
      <c r="I54" s="178"/>
      <c r="J54" s="141">
        <v>15250.0</v>
      </c>
      <c r="K54" s="128"/>
      <c r="L54" s="178"/>
      <c r="M54" s="178"/>
      <c r="N54" s="178"/>
      <c r="O54" s="12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107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80">
        <v>26494.0</v>
      </c>
      <c r="I55" s="178"/>
      <c r="J55" s="80">
        <v>15250.0</v>
      </c>
      <c r="K55" s="128"/>
      <c r="L55" s="178"/>
      <c r="M55" s="178"/>
      <c r="N55" s="178"/>
      <c r="O55" s="12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5" t="s">
        <v>346</v>
      </c>
      <c r="C56" s="13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38"/>
      <c r="H56" s="141">
        <v>26494.0</v>
      </c>
      <c r="I56" s="178"/>
      <c r="J56" s="141">
        <v>15250.0</v>
      </c>
      <c r="K56" s="128"/>
      <c r="L56" s="178"/>
      <c r="M56" s="178"/>
      <c r="N56" s="178"/>
      <c r="O56" s="12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107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80">
        <v>26494.0</v>
      </c>
      <c r="I57" s="178"/>
      <c r="J57" s="80">
        <v>15250.0</v>
      </c>
      <c r="K57" s="128"/>
      <c r="L57" s="178"/>
      <c r="M57" s="178"/>
      <c r="N57" s="178"/>
      <c r="O57" s="12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5" t="s">
        <v>348</v>
      </c>
      <c r="C58" s="13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38"/>
      <c r="H58" s="141">
        <v>26494.0</v>
      </c>
      <c r="I58" s="178"/>
      <c r="J58" s="141">
        <v>15250.0</v>
      </c>
      <c r="K58" s="128"/>
      <c r="L58" s="178"/>
      <c r="M58" s="178"/>
      <c r="N58" s="178"/>
      <c r="O58" s="12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54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28"/>
      <c r="L59" s="178"/>
      <c r="M59" s="178"/>
      <c r="N59" s="178"/>
      <c r="O59" s="12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7</v>
      </c>
      <c r="C3" s="9" t="s">
        <v>8</v>
      </c>
      <c r="D3" s="9" t="s">
        <v>10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24</v>
      </c>
      <c r="C6" s="16">
        <v>2000.0</v>
      </c>
      <c r="D6" s="17">
        <v>46176.0</v>
      </c>
    </row>
    <row r="7">
      <c r="A7" s="13">
        <v>46177.0</v>
      </c>
      <c r="B7" s="15" t="s">
        <v>29</v>
      </c>
      <c r="C7" s="16">
        <v>3000.0</v>
      </c>
      <c r="D7" s="17">
        <v>46177.0</v>
      </c>
    </row>
    <row r="8">
      <c r="A8" s="13">
        <v>46178.0</v>
      </c>
      <c r="B8" s="27" t="s">
        <v>29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5" t="s">
        <v>36</v>
      </c>
      <c r="C9" s="16">
        <v>585.0</v>
      </c>
      <c r="D9" s="17">
        <v>46179.0</v>
      </c>
    </row>
    <row r="10">
      <c r="A10" s="13">
        <v>46180.0</v>
      </c>
      <c r="B10" s="15" t="s">
        <v>39</v>
      </c>
      <c r="C10" s="16">
        <v>4208.0</v>
      </c>
      <c r="D10" s="15" t="s">
        <v>41</v>
      </c>
    </row>
    <row r="11">
      <c r="A11" s="13">
        <v>46181.0</v>
      </c>
      <c r="B11" s="15" t="s">
        <v>24</v>
      </c>
      <c r="C11" s="16">
        <v>2000.0</v>
      </c>
      <c r="D11" s="39"/>
    </row>
    <row r="12">
      <c r="A12" s="13">
        <v>46182.0</v>
      </c>
      <c r="B12" s="15" t="s">
        <v>43</v>
      </c>
      <c r="C12" s="16">
        <v>2000.0</v>
      </c>
      <c r="D12" s="15" t="s">
        <v>45</v>
      </c>
    </row>
    <row r="13">
      <c r="A13" s="13">
        <v>46174.0</v>
      </c>
      <c r="B13" s="15" t="s">
        <v>47</v>
      </c>
      <c r="C13" s="16">
        <v>9975.0</v>
      </c>
      <c r="D13" s="15" t="s">
        <v>49</v>
      </c>
    </row>
    <row r="14">
      <c r="A14" s="13">
        <v>46174.0</v>
      </c>
      <c r="B14" s="15" t="s">
        <v>50</v>
      </c>
      <c r="C14" s="16">
        <v>185.0</v>
      </c>
      <c r="D14" s="15" t="s">
        <v>49</v>
      </c>
    </row>
    <row r="15">
      <c r="A15" s="13">
        <v>46174.0</v>
      </c>
      <c r="B15" s="15" t="s">
        <v>52</v>
      </c>
      <c r="C15" s="16">
        <v>650.0</v>
      </c>
      <c r="D15" s="15" t="s">
        <v>49</v>
      </c>
    </row>
    <row r="16">
      <c r="A16" s="13">
        <v>46174.0</v>
      </c>
      <c r="B16" s="15" t="s">
        <v>56</v>
      </c>
      <c r="C16" s="16">
        <v>5077.0</v>
      </c>
      <c r="D16" s="15" t="s">
        <v>57</v>
      </c>
    </row>
    <row r="17">
      <c r="A17" s="13">
        <v>46174.0</v>
      </c>
      <c r="B17" s="15" t="s">
        <v>59</v>
      </c>
      <c r="C17" s="16">
        <v>716.0</v>
      </c>
      <c r="D17" s="15" t="s">
        <v>61</v>
      </c>
    </row>
    <row r="18">
      <c r="A18" s="13">
        <v>46175.0</v>
      </c>
      <c r="B18" s="15" t="s">
        <v>64</v>
      </c>
      <c r="C18" s="16">
        <v>5000.0</v>
      </c>
      <c r="D18" s="15" t="s">
        <v>61</v>
      </c>
    </row>
    <row r="19">
      <c r="A19" s="13">
        <v>46176.0</v>
      </c>
      <c r="B19" s="15" t="s">
        <v>67</v>
      </c>
      <c r="C19" s="16">
        <v>2000.0</v>
      </c>
      <c r="D19" s="15" t="s">
        <v>61</v>
      </c>
    </row>
    <row r="20">
      <c r="A20" s="13">
        <v>46177.0</v>
      </c>
      <c r="B20" s="15" t="s">
        <v>69</v>
      </c>
      <c r="C20" s="16">
        <v>240.0</v>
      </c>
      <c r="D20" s="15" t="s">
        <v>61</v>
      </c>
    </row>
    <row r="21">
      <c r="A21" s="13">
        <v>46178.0</v>
      </c>
      <c r="B21" s="15" t="s">
        <v>70</v>
      </c>
      <c r="C21" s="16">
        <v>512.0</v>
      </c>
      <c r="D21" s="15" t="s">
        <v>72</v>
      </c>
    </row>
    <row r="22">
      <c r="A22" s="13">
        <v>46179.0</v>
      </c>
      <c r="B22" s="15" t="s">
        <v>74</v>
      </c>
      <c r="C22" s="16">
        <v>3000.0</v>
      </c>
      <c r="D22" s="15" t="s">
        <v>72</v>
      </c>
    </row>
    <row r="23">
      <c r="A23" s="13">
        <v>46180.0</v>
      </c>
      <c r="B23" s="15" t="s">
        <v>75</v>
      </c>
      <c r="C23" s="16">
        <v>15230.0</v>
      </c>
      <c r="D23" s="15" t="s">
        <v>72</v>
      </c>
    </row>
    <row r="24">
      <c r="A24" s="13">
        <v>46181.0</v>
      </c>
      <c r="B24" s="15" t="s">
        <v>77</v>
      </c>
      <c r="C24" s="16">
        <v>1950.0</v>
      </c>
      <c r="D24" s="15" t="s">
        <v>72</v>
      </c>
    </row>
    <row r="25">
      <c r="A25" s="13">
        <v>46182.0</v>
      </c>
      <c r="B25" s="15" t="s">
        <v>79</v>
      </c>
      <c r="C25" s="16">
        <v>500.0</v>
      </c>
      <c r="D25" s="15" t="s">
        <v>81</v>
      </c>
    </row>
    <row r="26">
      <c r="A26" s="13">
        <v>46183.0</v>
      </c>
      <c r="B26" s="15" t="s">
        <v>83</v>
      </c>
      <c r="C26" s="16">
        <v>850.0</v>
      </c>
      <c r="D26" s="15" t="s">
        <v>81</v>
      </c>
    </row>
    <row r="27">
      <c r="A27" s="13">
        <v>46184.0</v>
      </c>
      <c r="B27" s="15" t="s">
        <v>86</v>
      </c>
      <c r="C27" s="16">
        <v>3000.0</v>
      </c>
      <c r="D27" s="15" t="s">
        <v>87</v>
      </c>
    </row>
    <row r="28">
      <c r="A28" s="13">
        <v>46185.0</v>
      </c>
      <c r="B28" s="15" t="s">
        <v>89</v>
      </c>
      <c r="C28" s="16">
        <v>4000.0</v>
      </c>
      <c r="D28" s="15" t="s">
        <v>87</v>
      </c>
    </row>
    <row r="29">
      <c r="A29" s="13">
        <v>46186.0</v>
      </c>
      <c r="B29" s="15" t="s">
        <v>91</v>
      </c>
      <c r="C29" s="16">
        <v>9855.0</v>
      </c>
      <c r="D29" s="15" t="s">
        <v>92</v>
      </c>
    </row>
    <row r="30">
      <c r="A30" s="13">
        <v>46187.0</v>
      </c>
      <c r="B30" s="15" t="s">
        <v>94</v>
      </c>
      <c r="C30" s="16">
        <v>590.0</v>
      </c>
      <c r="D30" s="17">
        <v>46181.0</v>
      </c>
    </row>
    <row r="31">
      <c r="A31" s="13">
        <v>46188.0</v>
      </c>
      <c r="B31" s="15" t="s">
        <v>97</v>
      </c>
      <c r="C31" s="16">
        <v>2000.0</v>
      </c>
      <c r="D31" s="17">
        <v>46184.0</v>
      </c>
    </row>
    <row r="32">
      <c r="A32" s="13">
        <v>46189.0</v>
      </c>
      <c r="B32" s="15" t="s">
        <v>99</v>
      </c>
      <c r="C32" s="16">
        <v>6000.0</v>
      </c>
      <c r="D32" s="17">
        <v>46191.0</v>
      </c>
    </row>
    <row r="33">
      <c r="A33" s="13">
        <v>46174.0</v>
      </c>
      <c r="B33" s="15" t="s">
        <v>102</v>
      </c>
      <c r="C33" s="16">
        <v>1070.0</v>
      </c>
      <c r="D33" s="17">
        <v>46193.0</v>
      </c>
    </row>
    <row r="34">
      <c r="A34" s="13">
        <v>46174.0</v>
      </c>
      <c r="B34" s="15" t="s">
        <v>104</v>
      </c>
      <c r="C34" s="16">
        <v>5000.0</v>
      </c>
      <c r="D34" s="17">
        <v>46193.0</v>
      </c>
    </row>
    <row r="35">
      <c r="A35" s="13">
        <v>46174.0</v>
      </c>
      <c r="B35" s="15" t="s">
        <v>107</v>
      </c>
      <c r="C35" s="16">
        <v>850.0</v>
      </c>
      <c r="D35" s="17">
        <v>46194.0</v>
      </c>
    </row>
    <row r="36">
      <c r="A36" s="13">
        <v>46174.0</v>
      </c>
      <c r="B36" s="15" t="s">
        <v>108</v>
      </c>
      <c r="C36" s="16">
        <v>220.0</v>
      </c>
      <c r="D36" s="17">
        <v>46194.0</v>
      </c>
    </row>
    <row r="37">
      <c r="A37" s="13">
        <v>46174.0</v>
      </c>
      <c r="B37" s="15" t="s">
        <v>111</v>
      </c>
      <c r="C37" s="16">
        <v>27500.0</v>
      </c>
      <c r="D37" s="15" t="s">
        <v>113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9" t="s">
        <v>21</v>
      </c>
    </row>
    <row r="5">
      <c r="B5" s="21">
        <v>55.8</v>
      </c>
      <c r="C5" s="23">
        <v>0.11</v>
      </c>
      <c r="D5" s="21" t="s">
        <v>26</v>
      </c>
      <c r="E5" s="21" t="s">
        <v>27</v>
      </c>
      <c r="F5" s="25">
        <v>391560.0</v>
      </c>
      <c r="G5" s="26">
        <v>46010.0</v>
      </c>
      <c r="H5" s="18">
        <f t="shared" ref="H5:H9" si="1">IF(OR(ISBLANK(F5), ISBLANK(G5), ISBLANK(C5)), 0, F5 * C5 * (TODAY() - G5) / 365)</f>
        <v>25724.95562</v>
      </c>
    </row>
    <row r="6">
      <c r="B6" s="21">
        <v>30.0</v>
      </c>
      <c r="C6" s="23">
        <v>0.1</v>
      </c>
      <c r="D6" s="21" t="s">
        <v>26</v>
      </c>
      <c r="E6" s="21" t="s">
        <v>38</v>
      </c>
      <c r="F6" s="25">
        <v>229500.0</v>
      </c>
      <c r="G6" s="26">
        <v>45966.0</v>
      </c>
      <c r="H6" s="18">
        <f t="shared" si="1"/>
        <v>16473.69863</v>
      </c>
    </row>
    <row r="7">
      <c r="B7" s="21">
        <v>36.9</v>
      </c>
      <c r="C7" s="23">
        <v>0.105</v>
      </c>
      <c r="D7" s="21" t="s">
        <v>26</v>
      </c>
      <c r="E7" s="21" t="s">
        <v>44</v>
      </c>
      <c r="F7" s="25">
        <v>300000.0</v>
      </c>
      <c r="G7" s="26">
        <v>46169.0</v>
      </c>
      <c r="H7" s="18">
        <f t="shared" si="1"/>
        <v>5091.780822</v>
      </c>
    </row>
    <row r="8">
      <c r="B8" s="21">
        <v>15.0</v>
      </c>
      <c r="C8" s="42"/>
      <c r="D8" s="21" t="s">
        <v>26</v>
      </c>
      <c r="E8" s="21" t="s">
        <v>44</v>
      </c>
      <c r="F8" s="25">
        <v>135000.0</v>
      </c>
      <c r="G8" s="26">
        <v>46178.0</v>
      </c>
      <c r="H8" s="18">
        <f t="shared" si="1"/>
        <v>0</v>
      </c>
    </row>
    <row r="9">
      <c r="B9" s="45"/>
      <c r="C9" s="42"/>
      <c r="D9" s="21" t="s">
        <v>26</v>
      </c>
      <c r="E9" s="21" t="s">
        <v>58</v>
      </c>
      <c r="F9" s="25">
        <v>297698.0</v>
      </c>
      <c r="G9" s="26">
        <v>46035.0</v>
      </c>
      <c r="H9" s="18">
        <f t="shared" si="1"/>
        <v>0</v>
      </c>
    </row>
    <row r="10">
      <c r="B10" s="45"/>
      <c r="C10" s="42"/>
      <c r="D10" s="45"/>
      <c r="E10" s="45"/>
      <c r="F10" s="48"/>
      <c r="G10" s="49"/>
      <c r="H10" s="18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8"/>
      <c r="G11" s="49"/>
      <c r="H11" s="18" t="str">
        <f t="shared" si="2"/>
        <v/>
      </c>
    </row>
    <row r="12">
      <c r="B12" s="45"/>
      <c r="C12" s="42"/>
      <c r="D12" s="45"/>
      <c r="E12" s="45"/>
      <c r="F12" s="48"/>
      <c r="G12" s="49"/>
      <c r="H12" s="18" t="str">
        <f t="shared" si="2"/>
        <v/>
      </c>
    </row>
    <row r="13">
      <c r="B13" s="45"/>
      <c r="C13" s="42"/>
      <c r="D13" s="45"/>
      <c r="E13" s="45"/>
      <c r="F13" s="48"/>
      <c r="G13" s="49"/>
      <c r="H13" s="18" t="str">
        <f t="shared" si="2"/>
        <v/>
      </c>
    </row>
    <row r="14">
      <c r="B14" s="45"/>
      <c r="C14" s="42"/>
      <c r="D14" s="45"/>
      <c r="E14" s="45"/>
      <c r="F14" s="48"/>
      <c r="G14" s="49"/>
      <c r="H14" s="18" t="str">
        <f t="shared" si="2"/>
        <v/>
      </c>
    </row>
    <row r="15">
      <c r="B15" s="45"/>
      <c r="C15" s="42"/>
      <c r="D15" s="45"/>
      <c r="E15" s="45"/>
      <c r="F15" s="48"/>
      <c r="G15" s="49"/>
      <c r="H15" s="18" t="str">
        <f t="shared" si="2"/>
        <v/>
      </c>
    </row>
    <row r="16">
      <c r="B16" s="45"/>
      <c r="C16" s="42"/>
      <c r="D16" s="45"/>
      <c r="E16" s="45"/>
      <c r="F16" s="48"/>
      <c r="G16" s="49"/>
      <c r="H16" s="18" t="str">
        <f t="shared" si="2"/>
        <v/>
      </c>
    </row>
    <row r="17">
      <c r="B17" s="45"/>
      <c r="C17" s="42"/>
      <c r="D17" s="45"/>
      <c r="E17" s="45"/>
      <c r="F17" s="48"/>
      <c r="G17" s="49"/>
      <c r="H17" s="18" t="str">
        <f t="shared" si="2"/>
        <v/>
      </c>
    </row>
    <row r="18">
      <c r="B18" s="45"/>
      <c r="C18" s="42"/>
      <c r="D18" s="45"/>
      <c r="E18" s="45"/>
      <c r="F18" s="48"/>
      <c r="G18" s="49"/>
      <c r="H18" s="18" t="str">
        <f t="shared" si="2"/>
        <v/>
      </c>
    </row>
    <row r="19">
      <c r="B19" s="45"/>
      <c r="C19" s="42"/>
      <c r="D19" s="45"/>
      <c r="E19" s="45"/>
      <c r="F19" s="48"/>
      <c r="G19" s="49"/>
      <c r="H19" s="18" t="str">
        <f t="shared" si="2"/>
        <v/>
      </c>
    </row>
    <row r="20">
      <c r="B20" s="45"/>
      <c r="C20" s="42"/>
      <c r="D20" s="45"/>
      <c r="E20" s="45"/>
      <c r="F20" s="48"/>
      <c r="G20" s="49"/>
      <c r="H20" s="18" t="str">
        <f t="shared" si="2"/>
        <v/>
      </c>
    </row>
    <row r="21">
      <c r="B21" s="45"/>
      <c r="C21" s="42"/>
      <c r="D21" s="45"/>
      <c r="E21" s="45"/>
      <c r="F21" s="48"/>
      <c r="G21" s="49"/>
      <c r="H21" s="18" t="str">
        <f t="shared" si="2"/>
        <v/>
      </c>
    </row>
    <row r="22">
      <c r="B22" s="45"/>
      <c r="C22" s="42"/>
      <c r="D22" s="45"/>
      <c r="E22" s="45"/>
      <c r="F22" s="48"/>
      <c r="G22" s="49"/>
      <c r="H22" s="18" t="str">
        <f t="shared" si="2"/>
        <v/>
      </c>
    </row>
    <row r="23">
      <c r="B23" s="45"/>
      <c r="C23" s="42"/>
      <c r="D23" s="45"/>
      <c r="E23" s="45"/>
      <c r="F23" s="48"/>
      <c r="G23" s="49"/>
      <c r="H23" s="18" t="str">
        <f t="shared" si="2"/>
        <v/>
      </c>
    </row>
    <row r="24">
      <c r="B24" s="45"/>
      <c r="C24" s="42"/>
      <c r="D24" s="45"/>
      <c r="E24" s="45"/>
      <c r="F24" s="48"/>
      <c r="G24" s="49"/>
      <c r="H24" s="18" t="str">
        <f t="shared" si="2"/>
        <v/>
      </c>
    </row>
    <row r="25">
      <c r="B25" s="45"/>
      <c r="C25" s="42"/>
      <c r="D25" s="45"/>
      <c r="E25" s="45"/>
      <c r="F25" s="48"/>
      <c r="G25" s="49"/>
      <c r="H25" s="18" t="str">
        <f t="shared" si="2"/>
        <v/>
      </c>
    </row>
    <row r="26">
      <c r="B26" s="45"/>
      <c r="C26" s="42"/>
      <c r="D26" s="45"/>
      <c r="E26" s="45"/>
      <c r="F26" s="48"/>
      <c r="G26" s="49"/>
      <c r="H26" s="18" t="str">
        <f t="shared" si="2"/>
        <v/>
      </c>
    </row>
    <row r="27">
      <c r="B27" s="45"/>
      <c r="C27" s="42"/>
      <c r="D27" s="45"/>
      <c r="E27" s="45"/>
      <c r="F27" s="48"/>
      <c r="G27" s="49"/>
      <c r="H27" s="18" t="str">
        <f t="shared" si="2"/>
        <v/>
      </c>
    </row>
    <row r="28">
      <c r="B28" s="45"/>
      <c r="C28" s="42"/>
      <c r="D28" s="45"/>
      <c r="E28" s="45"/>
      <c r="F28" s="48"/>
      <c r="G28" s="49"/>
      <c r="H28" s="18" t="str">
        <f t="shared" si="2"/>
        <v/>
      </c>
    </row>
    <row r="29">
      <c r="B29" s="45"/>
      <c r="C29" s="42"/>
      <c r="D29" s="45"/>
      <c r="E29" s="45"/>
      <c r="F29" s="48"/>
      <c r="G29" s="49"/>
      <c r="H29" s="18" t="str">
        <f t="shared" si="2"/>
        <v/>
      </c>
    </row>
    <row r="30">
      <c r="B30" s="45"/>
      <c r="C30" s="42"/>
      <c r="D30" s="45"/>
      <c r="E30" s="45"/>
      <c r="F30" s="48"/>
      <c r="G30" s="49"/>
      <c r="H30" s="18" t="str">
        <f t="shared" si="2"/>
        <v/>
      </c>
    </row>
    <row r="31">
      <c r="B31" s="45"/>
      <c r="C31" s="42"/>
      <c r="D31" s="45"/>
      <c r="E31" s="45"/>
      <c r="F31" s="48"/>
      <c r="G31" s="49"/>
      <c r="H31" s="18" t="str">
        <f t="shared" si="2"/>
        <v/>
      </c>
    </row>
    <row r="32">
      <c r="B32" s="45"/>
      <c r="C32" s="42"/>
      <c r="D32" s="45"/>
      <c r="E32" s="45"/>
      <c r="F32" s="48"/>
      <c r="G32" s="49"/>
      <c r="H32" s="18" t="str">
        <f t="shared" si="2"/>
        <v/>
      </c>
    </row>
    <row r="33">
      <c r="B33" s="45"/>
      <c r="C33" s="42"/>
      <c r="D33" s="45"/>
      <c r="E33" s="45"/>
      <c r="F33" s="48"/>
      <c r="G33" s="49"/>
      <c r="H33" s="18" t="str">
        <f t="shared" si="2"/>
        <v/>
      </c>
    </row>
    <row r="34">
      <c r="B34" s="45"/>
      <c r="C34" s="42"/>
      <c r="D34" s="45"/>
      <c r="E34" s="45"/>
      <c r="F34" s="48"/>
      <c r="G34" s="49"/>
      <c r="H34" s="18" t="str">
        <f t="shared" si="2"/>
        <v/>
      </c>
    </row>
    <row r="35">
      <c r="B35" s="45"/>
      <c r="C35" s="42"/>
      <c r="D35" s="45"/>
      <c r="E35" s="45"/>
      <c r="F35" s="48"/>
      <c r="G35" s="49"/>
      <c r="H35" s="18" t="str">
        <f t="shared" si="2"/>
        <v/>
      </c>
    </row>
    <row r="36">
      <c r="B36" s="45"/>
      <c r="C36" s="42"/>
      <c r="D36" s="45"/>
      <c r="E36" s="45"/>
      <c r="F36" s="48"/>
      <c r="G36" s="49"/>
      <c r="H36" s="18" t="str">
        <f t="shared" si="2"/>
        <v/>
      </c>
    </row>
    <row r="37">
      <c r="B37" s="45"/>
      <c r="C37" s="42"/>
      <c r="D37" s="45"/>
      <c r="E37" s="45"/>
      <c r="F37" s="48"/>
      <c r="G37" s="49"/>
      <c r="H37" s="18" t="str">
        <f t="shared" si="2"/>
        <v/>
      </c>
    </row>
    <row r="38">
      <c r="B38" s="45"/>
      <c r="C38" s="42"/>
      <c r="D38" s="45"/>
      <c r="E38" s="45"/>
      <c r="F38" s="48"/>
      <c r="G38" s="49"/>
      <c r="H38" s="18" t="str">
        <f t="shared" si="2"/>
        <v/>
      </c>
    </row>
    <row r="39">
      <c r="B39" s="45"/>
      <c r="C39" s="42"/>
      <c r="D39" s="45"/>
      <c r="E39" s="45"/>
      <c r="F39" s="48"/>
      <c r="G39" s="49"/>
      <c r="H39" s="18" t="str">
        <f t="shared" si="2"/>
        <v/>
      </c>
    </row>
    <row r="40">
      <c r="B40" s="45"/>
      <c r="C40" s="42"/>
      <c r="D40" s="45"/>
      <c r="E40" s="45"/>
      <c r="F40" s="48"/>
      <c r="G40" s="49"/>
      <c r="H40" s="18" t="str">
        <f t="shared" si="2"/>
        <v/>
      </c>
    </row>
    <row r="41">
      <c r="B41" s="45"/>
      <c r="C41" s="42"/>
      <c r="D41" s="45"/>
      <c r="E41" s="45"/>
      <c r="F41" s="48"/>
      <c r="G41" s="49"/>
      <c r="H41" s="18" t="str">
        <f t="shared" si="2"/>
        <v/>
      </c>
    </row>
    <row r="42">
      <c r="B42" s="45"/>
      <c r="C42" s="42"/>
      <c r="D42" s="45"/>
      <c r="E42" s="45"/>
      <c r="F42" s="48"/>
      <c r="G42" s="49"/>
      <c r="H42" s="18" t="str">
        <f t="shared" si="2"/>
        <v/>
      </c>
    </row>
    <row r="43">
      <c r="B43" s="45"/>
      <c r="C43" s="42"/>
      <c r="D43" s="45"/>
      <c r="E43" s="45"/>
      <c r="F43" s="48"/>
      <c r="G43" s="49"/>
      <c r="H43" s="18" t="str">
        <f t="shared" si="2"/>
        <v/>
      </c>
    </row>
    <row r="44">
      <c r="B44" s="45"/>
      <c r="C44" s="42"/>
      <c r="D44" s="45"/>
      <c r="E44" s="45"/>
      <c r="F44" s="48"/>
      <c r="G44" s="49"/>
      <c r="H44" s="18" t="str">
        <f t="shared" si="2"/>
        <v/>
      </c>
    </row>
    <row r="45">
      <c r="B45" s="45"/>
      <c r="C45" s="42"/>
      <c r="D45" s="45"/>
      <c r="E45" s="45"/>
      <c r="F45" s="48"/>
      <c r="G45" s="49"/>
      <c r="H45" s="18" t="str">
        <f t="shared" si="2"/>
        <v/>
      </c>
    </row>
    <row r="46">
      <c r="B46" s="45"/>
      <c r="C46" s="42"/>
      <c r="D46" s="45"/>
      <c r="E46" s="45"/>
      <c r="F46" s="48"/>
      <c r="G46" s="49"/>
      <c r="H46" s="18" t="str">
        <f t="shared" si="2"/>
        <v/>
      </c>
    </row>
    <row r="47">
      <c r="B47" s="45"/>
      <c r="C47" s="42"/>
      <c r="D47" s="45"/>
      <c r="E47" s="45"/>
      <c r="F47" s="48"/>
      <c r="G47" s="49"/>
      <c r="H47" s="18" t="str">
        <f t="shared" si="2"/>
        <v/>
      </c>
    </row>
    <row r="48">
      <c r="B48" s="45"/>
      <c r="C48" s="42"/>
      <c r="D48" s="45"/>
      <c r="E48" s="45"/>
      <c r="F48" s="48"/>
      <c r="G48" s="49"/>
      <c r="H48" s="18" t="str">
        <f t="shared" si="2"/>
        <v/>
      </c>
    </row>
    <row r="49">
      <c r="B49" s="45"/>
      <c r="C49" s="42"/>
      <c r="D49" s="45"/>
      <c r="E49" s="45"/>
      <c r="F49" s="48"/>
      <c r="G49" s="49"/>
      <c r="H49" s="18" t="str">
        <f t="shared" si="2"/>
        <v/>
      </c>
    </row>
    <row r="50">
      <c r="B50" s="45"/>
      <c r="C50" s="42"/>
      <c r="D50" s="45"/>
      <c r="E50" s="45"/>
      <c r="F50" s="48"/>
      <c r="G50" s="49"/>
      <c r="H50" s="18" t="str">
        <f t="shared" si="2"/>
        <v/>
      </c>
    </row>
    <row r="51">
      <c r="B51" s="45"/>
      <c r="C51" s="42"/>
      <c r="D51" s="45"/>
      <c r="E51" s="45"/>
      <c r="F51" s="48"/>
      <c r="G51" s="49"/>
      <c r="H51" s="18" t="str">
        <f t="shared" si="2"/>
        <v/>
      </c>
    </row>
    <row r="52">
      <c r="B52" s="45"/>
      <c r="C52" s="42"/>
      <c r="D52" s="45"/>
      <c r="E52" s="45"/>
      <c r="F52" s="48"/>
      <c r="G52" s="49"/>
      <c r="H52" s="18" t="str">
        <f t="shared" si="2"/>
        <v/>
      </c>
    </row>
    <row r="53">
      <c r="B53" s="45"/>
      <c r="C53" s="42"/>
      <c r="D53" s="45"/>
      <c r="E53" s="45"/>
      <c r="F53" s="48"/>
      <c r="G53" s="49"/>
      <c r="H53" s="18" t="str">
        <f t="shared" si="2"/>
        <v/>
      </c>
    </row>
    <row r="54">
      <c r="B54" s="45"/>
      <c r="C54" s="42"/>
      <c r="D54" s="45"/>
      <c r="E54" s="45"/>
      <c r="F54" s="48"/>
      <c r="G54" s="49"/>
      <c r="H54" s="18" t="str">
        <f t="shared" si="2"/>
        <v/>
      </c>
    </row>
    <row r="55">
      <c r="B55" s="45"/>
      <c r="C55" s="42"/>
      <c r="D55" s="45"/>
      <c r="E55" s="45"/>
      <c r="F55" s="48"/>
      <c r="G55" s="49"/>
      <c r="H55" s="18" t="str">
        <f t="shared" si="2"/>
        <v/>
      </c>
    </row>
    <row r="56">
      <c r="B56" s="45"/>
      <c r="C56" s="42"/>
      <c r="D56" s="45"/>
      <c r="E56" s="45"/>
      <c r="F56" s="48"/>
      <c r="G56" s="49"/>
      <c r="H56" s="18" t="str">
        <f t="shared" si="2"/>
        <v/>
      </c>
    </row>
    <row r="57">
      <c r="B57" s="45"/>
      <c r="C57" s="42"/>
      <c r="D57" s="45"/>
      <c r="E57" s="45"/>
      <c r="F57" s="48"/>
      <c r="G57" s="49"/>
      <c r="H57" s="18" t="str">
        <f t="shared" si="2"/>
        <v/>
      </c>
    </row>
    <row r="58">
      <c r="B58" s="45"/>
      <c r="C58" s="42"/>
      <c r="D58" s="45"/>
      <c r="E58" s="45"/>
      <c r="F58" s="48"/>
      <c r="G58" s="49"/>
      <c r="H58" s="18" t="str">
        <f t="shared" si="2"/>
        <v/>
      </c>
    </row>
    <row r="59">
      <c r="B59" s="45"/>
      <c r="C59" s="42"/>
      <c r="D59" s="45"/>
      <c r="E59" s="45"/>
      <c r="F59" s="48"/>
      <c r="G59" s="49"/>
      <c r="H59" s="18" t="str">
        <f t="shared" si="2"/>
        <v/>
      </c>
    </row>
    <row r="60">
      <c r="B60" s="45"/>
      <c r="C60" s="42"/>
      <c r="D60" s="45"/>
      <c r="E60" s="45"/>
      <c r="F60" s="48"/>
      <c r="G60" s="49"/>
      <c r="H60" s="18" t="str">
        <f t="shared" si="2"/>
        <v/>
      </c>
    </row>
    <row r="61">
      <c r="B61" s="45"/>
      <c r="C61" s="42"/>
      <c r="D61" s="45"/>
      <c r="E61" s="45"/>
      <c r="F61" s="48"/>
      <c r="G61" s="49"/>
      <c r="H61" s="18" t="str">
        <f t="shared" si="2"/>
        <v/>
      </c>
    </row>
    <row r="62">
      <c r="B62" s="45"/>
      <c r="C62" s="42"/>
      <c r="D62" s="45"/>
      <c r="E62" s="45"/>
      <c r="F62" s="48"/>
      <c r="G62" s="49"/>
      <c r="H62" s="18" t="str">
        <f t="shared" si="2"/>
        <v/>
      </c>
    </row>
    <row r="63">
      <c r="B63" s="45"/>
      <c r="C63" s="42"/>
      <c r="D63" s="45"/>
      <c r="E63" s="45"/>
      <c r="F63" s="48"/>
      <c r="G63" s="49"/>
      <c r="H63" s="18" t="str">
        <f t="shared" si="2"/>
        <v/>
      </c>
    </row>
    <row r="64">
      <c r="B64" s="45"/>
      <c r="C64" s="42"/>
      <c r="D64" s="45"/>
      <c r="E64" s="45"/>
      <c r="F64" s="48"/>
      <c r="G64" s="49"/>
      <c r="H64" s="18" t="str">
        <f t="shared" si="2"/>
        <v/>
      </c>
    </row>
    <row r="65">
      <c r="B65" s="45"/>
      <c r="C65" s="42"/>
      <c r="D65" s="45"/>
      <c r="E65" s="45"/>
      <c r="F65" s="48"/>
      <c r="G65" s="49"/>
      <c r="H65" s="18" t="str">
        <f t="shared" si="2"/>
        <v/>
      </c>
    </row>
    <row r="66">
      <c r="B66" s="45"/>
      <c r="C66" s="42"/>
      <c r="D66" s="45"/>
      <c r="E66" s="45"/>
      <c r="F66" s="48"/>
      <c r="G66" s="49"/>
      <c r="H66" s="18" t="str">
        <f t="shared" si="2"/>
        <v/>
      </c>
    </row>
    <row r="67">
      <c r="B67" s="45"/>
      <c r="C67" s="42"/>
      <c r="D67" s="45"/>
      <c r="E67" s="45"/>
      <c r="F67" s="48"/>
      <c r="G67" s="49"/>
      <c r="H67" s="18" t="str">
        <f t="shared" si="2"/>
        <v/>
      </c>
    </row>
    <row r="68">
      <c r="B68" s="45"/>
      <c r="C68" s="42"/>
      <c r="D68" s="45"/>
      <c r="E68" s="45"/>
      <c r="F68" s="48"/>
      <c r="G68" s="49"/>
      <c r="H68" s="18" t="str">
        <f t="shared" si="2"/>
        <v/>
      </c>
    </row>
    <row r="69">
      <c r="B69" s="45"/>
      <c r="C69" s="42"/>
      <c r="D69" s="45"/>
      <c r="E69" s="45"/>
      <c r="F69" s="48"/>
      <c r="G69" s="49"/>
      <c r="H69" s="18" t="str">
        <f t="shared" si="2"/>
        <v/>
      </c>
    </row>
    <row r="70">
      <c r="B70" s="45"/>
      <c r="C70" s="42"/>
      <c r="D70" s="45"/>
      <c r="E70" s="45"/>
      <c r="F70" s="48"/>
      <c r="G70" s="49"/>
      <c r="H70" s="18" t="str">
        <f t="shared" si="2"/>
        <v/>
      </c>
    </row>
    <row r="71">
      <c r="B71" s="45"/>
      <c r="C71" s="42"/>
      <c r="D71" s="45"/>
      <c r="E71" s="45"/>
      <c r="F71" s="48"/>
      <c r="G71" s="49"/>
      <c r="H71" s="18" t="str">
        <f t="shared" si="2"/>
        <v/>
      </c>
    </row>
    <row r="72">
      <c r="B72" s="45"/>
      <c r="C72" s="42"/>
      <c r="D72" s="45"/>
      <c r="E72" s="45"/>
      <c r="F72" s="48"/>
      <c r="G72" s="49"/>
      <c r="H72" s="18" t="str">
        <f t="shared" si="2"/>
        <v/>
      </c>
    </row>
    <row r="73">
      <c r="B73" s="45"/>
      <c r="C73" s="42"/>
      <c r="D73" s="45"/>
      <c r="E73" s="45"/>
      <c r="F73" s="48"/>
      <c r="G73" s="49"/>
      <c r="H73" s="18" t="str">
        <f t="shared" si="2"/>
        <v/>
      </c>
    </row>
    <row r="74">
      <c r="B74" s="45"/>
      <c r="C74" s="42"/>
      <c r="D74" s="45"/>
      <c r="E74" s="45"/>
      <c r="F74" s="48"/>
      <c r="G74" s="49"/>
      <c r="H74" s="18" t="str">
        <f t="shared" si="2"/>
        <v/>
      </c>
    </row>
    <row r="75">
      <c r="B75" s="45"/>
      <c r="C75" s="42"/>
      <c r="D75" s="45"/>
      <c r="E75" s="45"/>
      <c r="F75" s="48"/>
      <c r="G75" s="49"/>
      <c r="H75" s="18" t="str">
        <f t="shared" si="2"/>
        <v/>
      </c>
    </row>
    <row r="76">
      <c r="B76" s="45"/>
      <c r="C76" s="42"/>
      <c r="D76" s="45"/>
      <c r="E76" s="45"/>
      <c r="F76" s="48"/>
      <c r="G76" s="49"/>
      <c r="H76" s="18" t="str">
        <f t="shared" si="2"/>
        <v/>
      </c>
    </row>
    <row r="77">
      <c r="B77" s="45"/>
      <c r="C77" s="42"/>
      <c r="D77" s="45"/>
      <c r="E77" s="45"/>
      <c r="F77" s="48"/>
      <c r="G77" s="49"/>
      <c r="H77" s="18" t="str">
        <f t="shared" si="2"/>
        <v/>
      </c>
    </row>
    <row r="78">
      <c r="B78" s="45"/>
      <c r="C78" s="42"/>
      <c r="D78" s="45"/>
      <c r="E78" s="45"/>
      <c r="F78" s="48"/>
      <c r="G78" s="49"/>
      <c r="H78" s="18" t="str">
        <f t="shared" si="2"/>
        <v/>
      </c>
    </row>
    <row r="79">
      <c r="B79" s="45"/>
      <c r="C79" s="42"/>
      <c r="D79" s="45"/>
      <c r="E79" s="45"/>
      <c r="F79" s="48"/>
      <c r="G79" s="49"/>
      <c r="H79" s="18" t="str">
        <f t="shared" si="2"/>
        <v/>
      </c>
    </row>
    <row r="80">
      <c r="B80" s="45"/>
      <c r="C80" s="42"/>
      <c r="D80" s="45"/>
      <c r="E80" s="45"/>
      <c r="F80" s="48"/>
      <c r="G80" s="49"/>
      <c r="H80" s="18" t="str">
        <f t="shared" si="2"/>
        <v/>
      </c>
    </row>
    <row r="81">
      <c r="B81" s="45"/>
      <c r="C81" s="42"/>
      <c r="D81" s="45"/>
      <c r="E81" s="45"/>
      <c r="F81" s="48"/>
      <c r="G81" s="49"/>
      <c r="H81" s="18" t="str">
        <f t="shared" si="2"/>
        <v/>
      </c>
    </row>
    <row r="82">
      <c r="B82" s="45"/>
      <c r="C82" s="42"/>
      <c r="D82" s="45"/>
      <c r="E82" s="45"/>
      <c r="F82" s="48"/>
      <c r="G82" s="49"/>
      <c r="H82" s="18" t="str">
        <f t="shared" si="2"/>
        <v/>
      </c>
    </row>
    <row r="83">
      <c r="B83" s="45"/>
      <c r="C83" s="42"/>
      <c r="D83" s="45"/>
      <c r="E83" s="45"/>
      <c r="F83" s="48"/>
      <c r="G83" s="49"/>
      <c r="H83" s="18" t="str">
        <f t="shared" si="2"/>
        <v/>
      </c>
    </row>
    <row r="84">
      <c r="B84" s="45"/>
      <c r="C84" s="42"/>
      <c r="D84" s="45"/>
      <c r="E84" s="45"/>
      <c r="F84" s="48"/>
      <c r="G84" s="49"/>
      <c r="H84" s="18" t="str">
        <f t="shared" si="2"/>
        <v/>
      </c>
    </row>
    <row r="85">
      <c r="B85" s="45"/>
      <c r="C85" s="42"/>
      <c r="D85" s="45"/>
      <c r="E85" s="45"/>
      <c r="F85" s="48"/>
      <c r="G85" s="49"/>
      <c r="H85" s="18" t="str">
        <f t="shared" si="2"/>
        <v/>
      </c>
    </row>
    <row r="86">
      <c r="B86" s="45"/>
      <c r="C86" s="42"/>
      <c r="D86" s="45"/>
      <c r="E86" s="45"/>
      <c r="F86" s="48"/>
      <c r="G86" s="49"/>
      <c r="H86" s="18" t="str">
        <f t="shared" si="2"/>
        <v/>
      </c>
    </row>
    <row r="87">
      <c r="B87" s="45"/>
      <c r="C87" s="42"/>
      <c r="D87" s="45"/>
      <c r="E87" s="45"/>
      <c r="F87" s="48"/>
      <c r="G87" s="49"/>
      <c r="H87" s="18" t="str">
        <f t="shared" si="2"/>
        <v/>
      </c>
    </row>
    <row r="88">
      <c r="B88" s="45"/>
      <c r="C88" s="42"/>
      <c r="D88" s="45"/>
      <c r="E88" s="45"/>
      <c r="F88" s="48"/>
      <c r="G88" s="49"/>
      <c r="H88" s="18" t="str">
        <f t="shared" si="2"/>
        <v/>
      </c>
    </row>
    <row r="89">
      <c r="B89" s="45"/>
      <c r="C89" s="42"/>
      <c r="D89" s="45"/>
      <c r="E89" s="45"/>
      <c r="F89" s="48"/>
      <c r="G89" s="49"/>
      <c r="H89" s="18" t="str">
        <f t="shared" si="2"/>
        <v/>
      </c>
    </row>
    <row r="90">
      <c r="B90" s="45"/>
      <c r="C90" s="42"/>
      <c r="D90" s="45"/>
      <c r="E90" s="45"/>
      <c r="F90" s="48"/>
      <c r="G90" s="49"/>
      <c r="H90" s="18" t="str">
        <f t="shared" si="2"/>
        <v/>
      </c>
    </row>
    <row r="91">
      <c r="B91" s="45"/>
      <c r="C91" s="42"/>
      <c r="D91" s="45"/>
      <c r="E91" s="45"/>
      <c r="F91" s="48"/>
      <c r="G91" s="49"/>
      <c r="H91" s="18" t="str">
        <f t="shared" si="2"/>
        <v/>
      </c>
    </row>
    <row r="92">
      <c r="B92" s="45"/>
      <c r="C92" s="42"/>
      <c r="D92" s="45"/>
      <c r="E92" s="45"/>
      <c r="F92" s="48"/>
      <c r="G92" s="49"/>
      <c r="H92" s="18" t="str">
        <f t="shared" si="2"/>
        <v/>
      </c>
    </row>
    <row r="93">
      <c r="B93" s="45"/>
      <c r="C93" s="42"/>
      <c r="D93" s="45"/>
      <c r="E93" s="45"/>
      <c r="F93" s="48"/>
      <c r="G93" s="49"/>
      <c r="H93" s="18" t="str">
        <f t="shared" si="2"/>
        <v/>
      </c>
    </row>
    <row r="94">
      <c r="B94" s="45"/>
      <c r="C94" s="42"/>
      <c r="D94" s="45"/>
      <c r="E94" s="45"/>
      <c r="F94" s="48"/>
      <c r="G94" s="49"/>
      <c r="H94" s="18" t="str">
        <f t="shared" si="2"/>
        <v/>
      </c>
    </row>
    <row r="95">
      <c r="B95" s="45"/>
      <c r="C95" s="42"/>
      <c r="D95" s="45"/>
      <c r="E95" s="45"/>
      <c r="F95" s="48"/>
      <c r="G95" s="49"/>
      <c r="H95" s="18" t="str">
        <f t="shared" si="2"/>
        <v/>
      </c>
    </row>
    <row r="96">
      <c r="B96" s="45"/>
      <c r="C96" s="42"/>
      <c r="D96" s="45"/>
      <c r="E96" s="45"/>
      <c r="F96" s="48"/>
      <c r="G96" s="4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4"/>
      <c r="D1" s="33"/>
    </row>
    <row r="2" ht="15.75" customHeight="1">
      <c r="B2" s="93" t="s">
        <v>138</v>
      </c>
      <c r="C2" s="24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180</v>
      </c>
      <c r="C17" s="106" t="s">
        <v>181</v>
      </c>
      <c r="D17" s="96" t="s">
        <v>182</v>
      </c>
    </row>
    <row r="18" ht="66.75" customHeight="1">
      <c r="B18" s="101" t="s">
        <v>183</v>
      </c>
      <c r="C18" s="102" t="s">
        <v>184</v>
      </c>
      <c r="D18" s="96" t="s">
        <v>185</v>
      </c>
    </row>
    <row r="20" ht="19.5" customHeight="1">
      <c r="B20" s="109" t="s">
        <v>187</v>
      </c>
      <c r="C20" s="24"/>
      <c r="D20" s="33"/>
    </row>
    <row r="21" ht="18.0" customHeight="1">
      <c r="B21" s="112" t="s">
        <v>6</v>
      </c>
      <c r="C21" s="112" t="s">
        <v>189</v>
      </c>
      <c r="D21" s="112" t="s">
        <v>191</v>
      </c>
    </row>
    <row r="22" ht="16.5" customHeight="1">
      <c r="B22" s="113" t="s">
        <v>106</v>
      </c>
      <c r="C22" s="115" t="s">
        <v>193</v>
      </c>
      <c r="D22" s="116" t="s">
        <v>195</v>
      </c>
    </row>
    <row r="23" ht="16.5" customHeight="1">
      <c r="B23" s="113" t="s">
        <v>68</v>
      </c>
      <c r="C23" s="115" t="s">
        <v>198</v>
      </c>
      <c r="D23" s="116" t="s">
        <v>199</v>
      </c>
    </row>
    <row r="24" ht="16.5" customHeight="1">
      <c r="B24" s="117" t="s">
        <v>201</v>
      </c>
      <c r="C24" s="118" t="s">
        <v>202</v>
      </c>
      <c r="D24" s="116" t="s">
        <v>203</v>
      </c>
    </row>
    <row r="25" ht="16.5" customHeight="1">
      <c r="B25" s="113" t="s">
        <v>205</v>
      </c>
      <c r="C25" s="115" t="s">
        <v>206</v>
      </c>
      <c r="D25" s="116" t="s">
        <v>208</v>
      </c>
    </row>
    <row r="26" ht="16.5" customHeight="1">
      <c r="B26" s="119" t="s">
        <v>98</v>
      </c>
      <c r="C26" s="120" t="s">
        <v>212</v>
      </c>
      <c r="D26" s="116" t="s">
        <v>213</v>
      </c>
    </row>
    <row r="27" ht="16.5" customHeight="1">
      <c r="B27" s="121" t="s">
        <v>215</v>
      </c>
      <c r="C27" s="122" t="s">
        <v>216</v>
      </c>
      <c r="D27" s="116" t="s">
        <v>217</v>
      </c>
    </row>
    <row r="28" ht="16.5" customHeight="1">
      <c r="B28" s="113" t="s">
        <v>119</v>
      </c>
      <c r="C28" s="115" t="s">
        <v>221</v>
      </c>
      <c r="D28" s="116" t="s">
        <v>223</v>
      </c>
    </row>
    <row r="29" ht="16.5" customHeight="1">
      <c r="B29" s="113" t="s">
        <v>118</v>
      </c>
      <c r="C29" s="115" t="s">
        <v>226</v>
      </c>
      <c r="D29" s="116" t="s">
        <v>227</v>
      </c>
    </row>
    <row r="30" ht="16.5" customHeight="1">
      <c r="B30" s="119" t="s">
        <v>42</v>
      </c>
      <c r="C30" s="120" t="s">
        <v>229</v>
      </c>
      <c r="D30" s="116" t="s">
        <v>230</v>
      </c>
    </row>
    <row r="31" ht="16.5" customHeight="1">
      <c r="B31" s="119" t="s">
        <v>116</v>
      </c>
      <c r="C31" s="120" t="s">
        <v>232</v>
      </c>
      <c r="D31" s="116" t="s">
        <v>234</v>
      </c>
    </row>
    <row r="32" ht="16.5" customHeight="1">
      <c r="B32" s="125" t="s">
        <v>235</v>
      </c>
      <c r="C32" s="126" t="s">
        <v>238</v>
      </c>
      <c r="D32" s="116" t="s">
        <v>239</v>
      </c>
    </row>
    <row r="33" ht="16.5" customHeight="1">
      <c r="B33" s="113" t="s">
        <v>54</v>
      </c>
      <c r="C33" s="115" t="s">
        <v>241</v>
      </c>
      <c r="D33" s="116" t="s">
        <v>243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179</v>
      </c>
      <c r="B1" s="108" t="s">
        <v>186</v>
      </c>
      <c r="C1" s="108" t="s">
        <v>8</v>
      </c>
      <c r="D1" s="108"/>
      <c r="E1" s="108"/>
    </row>
    <row r="2">
      <c r="A2" s="110">
        <v>46165.0</v>
      </c>
      <c r="B2" s="108" t="s">
        <v>188</v>
      </c>
      <c r="C2" s="111">
        <v>10000.0</v>
      </c>
      <c r="D2" s="108"/>
      <c r="E2" s="108"/>
    </row>
    <row r="3">
      <c r="A3" s="110">
        <v>46166.0</v>
      </c>
      <c r="B3" s="108" t="s">
        <v>190</v>
      </c>
      <c r="C3" s="111">
        <v>19000.0</v>
      </c>
      <c r="D3" s="108"/>
      <c r="E3" s="108"/>
    </row>
    <row r="4">
      <c r="A4" s="110">
        <v>46168.0</v>
      </c>
      <c r="B4" s="108" t="s">
        <v>192</v>
      </c>
      <c r="C4" s="114">
        <v>2500.0</v>
      </c>
      <c r="D4" s="108"/>
      <c r="E4" s="108"/>
    </row>
    <row r="5">
      <c r="A5" s="110">
        <v>46169.0</v>
      </c>
      <c r="B5" s="108" t="s">
        <v>194</v>
      </c>
      <c r="C5" s="111">
        <v>29050.0</v>
      </c>
      <c r="D5" s="108"/>
      <c r="E5" s="108"/>
    </row>
    <row r="6">
      <c r="A6" s="110">
        <v>46169.0</v>
      </c>
      <c r="B6" s="108" t="s">
        <v>196</v>
      </c>
      <c r="C6" s="114">
        <v>100.0</v>
      </c>
      <c r="D6" s="108"/>
      <c r="E6" s="108"/>
    </row>
    <row r="7">
      <c r="A7" s="110">
        <v>46169.0</v>
      </c>
      <c r="B7" s="108" t="s">
        <v>197</v>
      </c>
      <c r="C7" s="114">
        <v>300.0</v>
      </c>
      <c r="D7" s="108"/>
      <c r="E7" s="108"/>
    </row>
    <row r="8">
      <c r="A8" s="110">
        <v>46169.0</v>
      </c>
      <c r="B8" s="108" t="s">
        <v>200</v>
      </c>
      <c r="C8" s="114">
        <v>370.0</v>
      </c>
      <c r="D8" s="108"/>
      <c r="E8" s="108"/>
    </row>
    <row r="9">
      <c r="A9" s="110">
        <v>46169.0</v>
      </c>
      <c r="B9" s="108" t="s">
        <v>89</v>
      </c>
      <c r="C9" s="114">
        <v>2494.0</v>
      </c>
      <c r="D9" s="108"/>
      <c r="E9" s="108"/>
    </row>
    <row r="10">
      <c r="A10" s="110">
        <v>46169.0</v>
      </c>
      <c r="B10" s="108" t="s">
        <v>204</v>
      </c>
      <c r="C10" s="114">
        <v>5000.0</v>
      </c>
      <c r="D10" s="108"/>
      <c r="E10" s="108"/>
    </row>
    <row r="11">
      <c r="A11" s="110">
        <v>46169.0</v>
      </c>
      <c r="B11" s="108" t="s">
        <v>207</v>
      </c>
      <c r="C11" s="111">
        <v>29000.0</v>
      </c>
      <c r="D11" s="108" t="s">
        <v>209</v>
      </c>
      <c r="E11" s="114">
        <v>24000.0</v>
      </c>
    </row>
    <row r="12">
      <c r="A12" s="110">
        <v>46169.0</v>
      </c>
      <c r="B12" s="108" t="s">
        <v>210</v>
      </c>
      <c r="C12" s="114">
        <v>400.0</v>
      </c>
      <c r="D12" s="108" t="s">
        <v>211</v>
      </c>
      <c r="E12" s="111">
        <v>53000.0</v>
      </c>
    </row>
    <row r="13">
      <c r="A13" s="110">
        <v>46169.0</v>
      </c>
      <c r="B13" s="108" t="s">
        <v>214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218</v>
      </c>
      <c r="B22" s="108" t="s">
        <v>179</v>
      </c>
      <c r="C22" s="108" t="s">
        <v>219</v>
      </c>
      <c r="D22" s="108" t="s">
        <v>8</v>
      </c>
      <c r="E22" s="108" t="s">
        <v>220</v>
      </c>
    </row>
    <row r="23">
      <c r="A23" s="108" t="s">
        <v>222</v>
      </c>
      <c r="B23" s="108" t="s">
        <v>224</v>
      </c>
      <c r="C23" s="108" t="s">
        <v>225</v>
      </c>
      <c r="D23" s="114">
        <v>3150.0</v>
      </c>
      <c r="E23" s="123">
        <v>46464.0</v>
      </c>
    </row>
    <row r="24">
      <c r="A24" s="108" t="s">
        <v>222</v>
      </c>
      <c r="B24" s="108" t="s">
        <v>224</v>
      </c>
      <c r="C24" s="108" t="s">
        <v>228</v>
      </c>
      <c r="D24" s="114">
        <v>2650.0</v>
      </c>
      <c r="E24" s="123">
        <v>46219.0</v>
      </c>
    </row>
    <row r="25">
      <c r="A25" s="108" t="s">
        <v>222</v>
      </c>
      <c r="B25" s="108" t="s">
        <v>224</v>
      </c>
      <c r="C25" s="108" t="s">
        <v>231</v>
      </c>
      <c r="D25" s="114">
        <v>2600.0</v>
      </c>
      <c r="E25" s="123">
        <v>46828.0</v>
      </c>
    </row>
    <row r="26">
      <c r="A26" s="108" t="s">
        <v>222</v>
      </c>
      <c r="B26" s="108" t="s">
        <v>224</v>
      </c>
      <c r="C26" s="108" t="s">
        <v>233</v>
      </c>
      <c r="D26" s="114">
        <v>2680.0</v>
      </c>
      <c r="E26" s="124">
        <v>46863.0</v>
      </c>
    </row>
    <row r="27">
      <c r="A27" s="108" t="s">
        <v>91</v>
      </c>
      <c r="B27" s="108" t="s">
        <v>236</v>
      </c>
      <c r="C27" s="108" t="s">
        <v>237</v>
      </c>
      <c r="D27" s="114">
        <v>5390.0</v>
      </c>
      <c r="E27" s="123">
        <v>46764.0</v>
      </c>
    </row>
    <row r="28">
      <c r="A28" s="108" t="s">
        <v>91</v>
      </c>
      <c r="B28" s="108" t="s">
        <v>236</v>
      </c>
      <c r="C28" s="108" t="s">
        <v>240</v>
      </c>
      <c r="D28" s="114">
        <v>3235.0</v>
      </c>
      <c r="E28" s="123">
        <v>46673.0</v>
      </c>
    </row>
    <row r="29">
      <c r="A29" s="108" t="s">
        <v>91</v>
      </c>
      <c r="B29" s="108" t="s">
        <v>236</v>
      </c>
      <c r="C29" s="108" t="s">
        <v>242</v>
      </c>
      <c r="D29" s="114">
        <v>1230.0</v>
      </c>
      <c r="E29" s="108" t="s">
        <v>244</v>
      </c>
    </row>
    <row r="30">
      <c r="A30" s="108" t="s">
        <v>245</v>
      </c>
      <c r="B30" s="108"/>
      <c r="C30" s="108" t="s">
        <v>225</v>
      </c>
      <c r="D30" s="127">
        <v>2970.0</v>
      </c>
      <c r="E30" s="108"/>
    </row>
    <row r="31">
      <c r="A31" s="108" t="s">
        <v>245</v>
      </c>
      <c r="B31" s="108"/>
      <c r="C31" s="108" t="s">
        <v>237</v>
      </c>
      <c r="D31" s="127">
        <v>2970.0</v>
      </c>
      <c r="E31" s="108"/>
    </row>
    <row r="32">
      <c r="A32" s="108" t="s">
        <v>246</v>
      </c>
      <c r="B32" s="108" t="s">
        <v>247</v>
      </c>
      <c r="C32" s="108"/>
      <c r="D32" s="114">
        <v>5000.0</v>
      </c>
      <c r="E32" s="108" t="s">
        <v>248</v>
      </c>
    </row>
    <row r="42">
      <c r="A42" s="129" t="s">
        <v>249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0" t="s">
        <v>22</v>
      </c>
      <c r="B45" s="130" t="s">
        <v>250</v>
      </c>
      <c r="C45" s="130" t="s">
        <v>251</v>
      </c>
      <c r="D45" s="130" t="s">
        <v>112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6" t="s">
        <v>264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1" t="s">
        <v>273</v>
      </c>
      <c r="B48" s="153"/>
      <c r="C48" s="154"/>
      <c r="D48" s="132">
        <f>IF(AND(B48&lt;&gt;"", C48&lt;&gt;"", E48&lt;&gt;""), PMT(C48/12, E48, -B48), 15250)</f>
        <v>15250</v>
      </c>
      <c r="E48" s="155"/>
      <c r="F48" s="134">
        <v>0.0</v>
      </c>
      <c r="G48" s="155" t="str">
        <f t="shared" si="1"/>
        <v/>
      </c>
      <c r="H48" s="132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6" t="s">
        <v>65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7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1" t="s">
        <v>274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43">
        <f t="shared" si="4"/>
        <v>8148.106161</v>
      </c>
    </row>
    <row r="51">
      <c r="A51" s="161" t="s">
        <v>275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1" t="s">
        <v>276</v>
      </c>
      <c r="B52" s="153"/>
      <c r="C52" s="154"/>
      <c r="D52" s="132">
        <f>IF(AND(B52&lt;&gt;"", C52&lt;&gt;"", E52&lt;&gt;""), PMT(C52/12, E52, -B52), 3850)</f>
        <v>3850</v>
      </c>
      <c r="E52" s="155"/>
      <c r="F52" s="134">
        <v>0.0</v>
      </c>
      <c r="G52" s="155" t="str">
        <f t="shared" si="1"/>
        <v/>
      </c>
      <c r="H52" s="132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179</v>
      </c>
      <c r="B61" s="166" t="s">
        <v>278</v>
      </c>
      <c r="C61" s="166" t="s">
        <v>8</v>
      </c>
      <c r="D61" s="166" t="s">
        <v>279</v>
      </c>
      <c r="E61" s="166" t="s">
        <v>280</v>
      </c>
      <c r="F61" s="166" t="s">
        <v>281</v>
      </c>
      <c r="G61" s="166" t="s">
        <v>8</v>
      </c>
      <c r="H61" s="108"/>
      <c r="I61" s="166" t="s">
        <v>282</v>
      </c>
      <c r="J61" s="108" t="s">
        <v>283</v>
      </c>
    </row>
    <row r="62">
      <c r="A62" s="110">
        <v>46143.0</v>
      </c>
      <c r="B62" s="108" t="s">
        <v>262</v>
      </c>
      <c r="C62" s="167">
        <v>11839.0</v>
      </c>
      <c r="D62" s="168" t="b">
        <v>1</v>
      </c>
      <c r="E62" s="108" t="s">
        <v>284</v>
      </c>
      <c r="F62" s="108" t="s">
        <v>285</v>
      </c>
      <c r="G62" s="167">
        <v>71000.0</v>
      </c>
      <c r="H62" s="108"/>
      <c r="I62" s="166" t="s">
        <v>286</v>
      </c>
      <c r="J62" s="167">
        <f>SUM(C62:C1000)</f>
        <v>84657</v>
      </c>
    </row>
    <row r="63">
      <c r="A63" s="110">
        <v>46144.0</v>
      </c>
      <c r="B63" s="108" t="s">
        <v>287</v>
      </c>
      <c r="C63" s="167">
        <v>3850.0</v>
      </c>
      <c r="D63" s="168" t="b">
        <v>1</v>
      </c>
      <c r="E63" s="108" t="s">
        <v>288</v>
      </c>
      <c r="F63" s="108"/>
      <c r="G63" s="169"/>
      <c r="H63" s="108"/>
      <c r="I63" s="166" t="s">
        <v>255</v>
      </c>
      <c r="J63" s="167">
        <f>SUMIFS(C62:C1000, D62:D1000, TRUE)</f>
        <v>50435</v>
      </c>
    </row>
    <row r="64">
      <c r="A64" s="110">
        <v>46145.0</v>
      </c>
      <c r="B64" s="108" t="s">
        <v>289</v>
      </c>
      <c r="C64" s="167">
        <v>4627.0</v>
      </c>
      <c r="D64" s="168" t="b">
        <v>1</v>
      </c>
      <c r="E64" s="108"/>
      <c r="F64" s="108"/>
      <c r="G64" s="169"/>
      <c r="H64" s="108"/>
      <c r="I64" s="166" t="s">
        <v>290</v>
      </c>
      <c r="J64" s="167">
        <f>SUMIFS(C62:C1000, D62:D1000, FALSE)</f>
        <v>34222</v>
      </c>
    </row>
    <row r="65">
      <c r="A65" s="110">
        <v>46147.0</v>
      </c>
      <c r="B65" s="108" t="s">
        <v>291</v>
      </c>
      <c r="C65" s="167">
        <v>5000.0</v>
      </c>
      <c r="D65" s="168" t="b">
        <v>1</v>
      </c>
      <c r="E65" s="108"/>
      <c r="F65" s="108"/>
      <c r="G65" s="169"/>
      <c r="H65" s="108"/>
      <c r="I65" s="166" t="s">
        <v>292</v>
      </c>
      <c r="J65" s="167">
        <f>SUM(G62:G1000)</f>
        <v>71000</v>
      </c>
    </row>
    <row r="66">
      <c r="A66" s="110">
        <v>46167.0</v>
      </c>
      <c r="B66" s="108" t="s">
        <v>293</v>
      </c>
      <c r="C66" s="167">
        <v>18972.0</v>
      </c>
      <c r="D66" s="168" t="b">
        <v>0</v>
      </c>
      <c r="E66" s="170">
        <v>97110.0</v>
      </c>
      <c r="F66" s="108"/>
      <c r="G66" s="169"/>
      <c r="H66" s="108"/>
      <c r="I66" s="166" t="s">
        <v>294</v>
      </c>
      <c r="J66" s="167">
        <f>J65-J62</f>
        <v>-13657</v>
      </c>
    </row>
    <row r="67">
      <c r="A67" s="110">
        <v>46146.0</v>
      </c>
      <c r="B67" s="108" t="s">
        <v>295</v>
      </c>
      <c r="C67" s="167">
        <v>13625.0</v>
      </c>
      <c r="D67" s="168" t="b">
        <v>1</v>
      </c>
      <c r="E67" s="108" t="s">
        <v>296</v>
      </c>
      <c r="F67" s="108"/>
      <c r="G67" s="169"/>
      <c r="H67" s="108"/>
      <c r="I67" s="108"/>
      <c r="J67" s="108"/>
    </row>
    <row r="68">
      <c r="A68" s="110">
        <v>46145.0</v>
      </c>
      <c r="B68" s="108" t="s">
        <v>297</v>
      </c>
      <c r="C68" s="167">
        <v>2494.0</v>
      </c>
      <c r="D68" s="168" t="b">
        <v>1</v>
      </c>
      <c r="E68" s="108"/>
      <c r="F68" s="108"/>
      <c r="G68" s="169"/>
      <c r="H68" s="108"/>
      <c r="I68" s="108"/>
      <c r="J68" s="108"/>
    </row>
    <row r="69">
      <c r="A69" s="110">
        <v>46144.0</v>
      </c>
      <c r="B69" s="108" t="s">
        <v>298</v>
      </c>
      <c r="C69" s="167">
        <v>4500.0</v>
      </c>
      <c r="D69" s="168" t="b">
        <v>1</v>
      </c>
      <c r="E69" s="108"/>
      <c r="F69" s="108"/>
      <c r="G69" s="169"/>
      <c r="H69" s="108"/>
      <c r="I69" s="108"/>
      <c r="J69" s="108"/>
    </row>
    <row r="70">
      <c r="A70" s="110">
        <v>46152.0</v>
      </c>
      <c r="B70" s="108" t="s">
        <v>299</v>
      </c>
      <c r="C70" s="167">
        <v>1500.0</v>
      </c>
      <c r="D70" s="168" t="b">
        <v>1</v>
      </c>
      <c r="E70" s="108"/>
      <c r="F70" s="108"/>
      <c r="G70" s="169"/>
      <c r="H70" s="108"/>
      <c r="I70" s="108"/>
      <c r="J70" s="108"/>
    </row>
    <row r="71">
      <c r="A71" s="110">
        <v>46152.0</v>
      </c>
      <c r="B71" s="108" t="s">
        <v>300</v>
      </c>
      <c r="C71" s="167">
        <v>3000.0</v>
      </c>
      <c r="D71" s="168" t="b">
        <v>1</v>
      </c>
      <c r="E71" s="108"/>
      <c r="F71" s="108"/>
      <c r="G71" s="169"/>
      <c r="H71" s="108"/>
      <c r="I71" s="108"/>
      <c r="J71" s="108"/>
    </row>
    <row r="72">
      <c r="A72" s="110">
        <v>46157.0</v>
      </c>
      <c r="B72" s="108" t="s">
        <v>301</v>
      </c>
      <c r="C72" s="167">
        <v>15250.0</v>
      </c>
      <c r="D72" s="168" t="b">
        <v>0</v>
      </c>
      <c r="E72" s="108"/>
      <c r="F72" s="108"/>
      <c r="G72" s="16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179</v>
      </c>
      <c r="B1" s="140" t="s">
        <v>260</v>
      </c>
      <c r="C1" s="140" t="s">
        <v>261</v>
      </c>
      <c r="D1" s="140" t="s">
        <v>10</v>
      </c>
    </row>
    <row r="2">
      <c r="A2" s="142">
        <v>46060.0</v>
      </c>
      <c r="B2" s="11" t="s">
        <v>262</v>
      </c>
      <c r="C2" s="144">
        <v>12000.0</v>
      </c>
      <c r="D2" s="11" t="s">
        <v>263</v>
      </c>
    </row>
    <row r="3">
      <c r="A3" s="142">
        <v>46060.0</v>
      </c>
      <c r="B3" s="11" t="s">
        <v>265</v>
      </c>
      <c r="C3" s="11">
        <v>4600.0</v>
      </c>
      <c r="D3" s="11" t="s">
        <v>266</v>
      </c>
    </row>
    <row r="4">
      <c r="A4" s="145" t="s">
        <v>267</v>
      </c>
      <c r="B4" s="11" t="s">
        <v>268</v>
      </c>
      <c r="C4" s="144">
        <v>15500.0</v>
      </c>
      <c r="D4" s="11" t="s">
        <v>269</v>
      </c>
    </row>
    <row r="5">
      <c r="A5" s="145" t="s">
        <v>270</v>
      </c>
      <c r="B5" s="11" t="s">
        <v>271</v>
      </c>
      <c r="C5" s="11">
        <v>2000.0</v>
      </c>
      <c r="D5" s="11" t="s">
        <v>272</v>
      </c>
    </row>
    <row r="6">
      <c r="A6" s="150"/>
    </row>
    <row r="7">
      <c r="A7" s="150"/>
    </row>
    <row r="8">
      <c r="A8" s="150"/>
    </row>
    <row r="9">
      <c r="A9" s="150"/>
    </row>
    <row r="10">
      <c r="A10" s="150"/>
    </row>
    <row r="11">
      <c r="A11" s="150"/>
    </row>
    <row r="12">
      <c r="A12" s="150"/>
    </row>
    <row r="13">
      <c r="A13" s="150"/>
    </row>
    <row r="14">
      <c r="A14" s="150"/>
    </row>
    <row r="15">
      <c r="A15" s="150"/>
    </row>
    <row r="16">
      <c r="A16" s="150"/>
    </row>
    <row r="17">
      <c r="A17" s="150"/>
    </row>
    <row r="18">
      <c r="A18" s="150"/>
    </row>
    <row r="19">
      <c r="A19" s="150"/>
    </row>
    <row r="20">
      <c r="A20" s="150"/>
    </row>
    <row r="21">
      <c r="A21" s="150"/>
    </row>
    <row r="22">
      <c r="A22" s="150"/>
    </row>
    <row r="23">
      <c r="A23" s="150"/>
    </row>
    <row r="24">
      <c r="A24" s="150"/>
    </row>
    <row r="25">
      <c r="A25" s="150"/>
    </row>
    <row r="26">
      <c r="A26" s="150"/>
    </row>
    <row r="27">
      <c r="A27" s="150"/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