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<sst xmlns="http://schemas.openxmlformats.org/spreadsheetml/2006/main" count="442" uniqueCount="335">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</sst>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105693</v>
      </c>
      <c r="F5" s="57">
        <f t="shared" ref="F5:F59" si="2">C5-D5-E5</f>
        <v>-89029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3000.0</v>
      </c>
      <c r="D27" s="101" t="s">
        <v>166</v>
      </c>
    </row>
    <row r="28">
      <c r="A28" s="109">
        <v>46185.0</v>
      </c>
      <c r="B28" s="101" t="s">
        <v>167</v>
      </c>
      <c r="C28" s="102">
        <v>4000.0</v>
      </c>
      <c r="D28" s="101" t="s">
        <v>166</v>
      </c>
    </row>
    <row r="29">
      <c r="A29" s="109">
        <v>46186.0</v>
      </c>
      <c r="B29" s="101" t="s">
        <v>168</v>
      </c>
      <c r="C29" s="102">
        <v>9855.0</v>
      </c>
      <c r="D29" s="101" t="s">
        <v>169</v>
      </c>
    </row>
    <row r="30">
      <c r="A30" s="109">
        <v>46187.0</v>
      </c>
      <c r="B30" s="101" t="s">
        <v>170</v>
      </c>
      <c r="C30" s="102">
        <v>590.0</v>
      </c>
      <c r="D30" s="103">
        <v>46181.0</v>
      </c>
    </row>
    <row r="31">
      <c r="A31" s="109">
        <v>46188.0</v>
      </c>
      <c r="B31" s="101" t="s">
        <v>171</v>
      </c>
      <c r="C31" s="102">
        <v>2000.0</v>
      </c>
      <c r="D31" s="103">
        <v>46184.0</v>
      </c>
    </row>
    <row r="32">
      <c r="A32" s="109">
        <v>46189.0</v>
      </c>
      <c r="B32" s="101" t="s">
        <v>172</v>
      </c>
      <c r="C32" s="102">
        <v>6000.0</v>
      </c>
      <c r="D32" s="103">
        <v>46191.0</v>
      </c>
    </row>
    <row r="33">
      <c r="A33" s="109">
        <v>46174.0</v>
      </c>
      <c r="B33" s="101" t="s">
        <v>173</v>
      </c>
      <c r="C33" s="102">
        <v>1070.0</v>
      </c>
      <c r="D33" s="103">
        <v>46193.0</v>
      </c>
    </row>
    <row r="34">
      <c r="A34" s="109">
        <v>46174.0</v>
      </c>
      <c r="B34" s="101" t="s">
        <v>174</v>
      </c>
      <c r="C34" s="102">
        <v>5000.0</v>
      </c>
      <c r="D34" s="103">
        <v>46193.0</v>
      </c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175</v>
      </c>
    </row>
    <row r="4">
      <c r="B4" s="112" t="s">
        <v>176</v>
      </c>
      <c r="C4" s="112" t="s">
        <v>177</v>
      </c>
      <c r="D4" s="112" t="s">
        <v>178</v>
      </c>
      <c r="E4" s="112" t="s">
        <v>179</v>
      </c>
      <c r="F4" s="112" t="s">
        <v>180</v>
      </c>
      <c r="G4" s="112" t="s">
        <v>181</v>
      </c>
      <c r="H4" s="113" t="s">
        <v>182</v>
      </c>
    </row>
    <row r="5">
      <c r="B5" s="114">
        <v>55.8</v>
      </c>
      <c r="C5" s="115">
        <v>0.11</v>
      </c>
      <c r="D5" s="114" t="s">
        <v>183</v>
      </c>
      <c r="E5" s="114" t="s">
        <v>184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21712.80658</v>
      </c>
    </row>
    <row r="6">
      <c r="B6" s="114">
        <v>30.0</v>
      </c>
      <c r="C6" s="115">
        <v>0.1</v>
      </c>
      <c r="D6" s="114" t="s">
        <v>183</v>
      </c>
      <c r="E6" s="114" t="s">
        <v>185</v>
      </c>
      <c r="F6" s="116">
        <v>229500.0</v>
      </c>
      <c r="G6" s="117">
        <v>45966.0</v>
      </c>
      <c r="H6" s="10">
        <f t="shared" si="1"/>
        <v>14335.89041</v>
      </c>
    </row>
    <row r="7">
      <c r="B7" s="114">
        <v>36.9</v>
      </c>
      <c r="C7" s="115">
        <v>0.105</v>
      </c>
      <c r="D7" s="114" t="s">
        <v>183</v>
      </c>
      <c r="E7" s="114" t="s">
        <v>186</v>
      </c>
      <c r="F7" s="116">
        <v>300000.0</v>
      </c>
      <c r="G7" s="117">
        <v>46169.0</v>
      </c>
      <c r="H7" s="10">
        <f t="shared" si="1"/>
        <v>2157.534247</v>
      </c>
    </row>
    <row r="8">
      <c r="B8" s="114">
        <v>15.0</v>
      </c>
      <c r="C8" s="118"/>
      <c r="D8" s="114" t="s">
        <v>183</v>
      </c>
      <c r="E8" s="114" t="s">
        <v>186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183</v>
      </c>
      <c r="E9" s="114" t="s">
        <v>187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188</v>
      </c>
      <c r="C1" s="43"/>
      <c r="D1" s="44"/>
    </row>
    <row r="2" ht="15.75" customHeight="1">
      <c r="B2" s="123" t="s">
        <v>189</v>
      </c>
      <c r="C2" s="43"/>
      <c r="D2" s="44"/>
    </row>
    <row r="3" ht="7.5" customHeight="1"/>
    <row r="4" ht="66.75" customHeight="1">
      <c r="B4" s="124" t="s">
        <v>190</v>
      </c>
      <c r="C4" s="125" t="s">
        <v>191</v>
      </c>
      <c r="D4" s="126" t="s">
        <v>192</v>
      </c>
    </row>
    <row r="5" ht="48.75" customHeight="1">
      <c r="B5" s="124" t="s">
        <v>193</v>
      </c>
      <c r="C5" s="125" t="s">
        <v>194</v>
      </c>
      <c r="D5" s="126" t="s">
        <v>195</v>
      </c>
    </row>
    <row r="6" ht="54.75" customHeight="1">
      <c r="B6" s="124" t="s">
        <v>196</v>
      </c>
      <c r="C6" s="125" t="s">
        <v>197</v>
      </c>
      <c r="D6" s="126" t="s">
        <v>198</v>
      </c>
    </row>
    <row r="7" ht="31.5" customHeight="1">
      <c r="B7" s="124" t="s">
        <v>199</v>
      </c>
      <c r="C7" s="125" t="s">
        <v>200</v>
      </c>
      <c r="D7" s="126" t="s">
        <v>201</v>
      </c>
    </row>
    <row r="8" ht="75.75" customHeight="1">
      <c r="B8" s="127" t="s">
        <v>202</v>
      </c>
      <c r="C8" s="128" t="s">
        <v>203</v>
      </c>
      <c r="D8" s="126" t="s">
        <v>204</v>
      </c>
    </row>
    <row r="9" ht="42.0" customHeight="1">
      <c r="B9" s="127" t="s">
        <v>205</v>
      </c>
      <c r="C9" s="128" t="s">
        <v>206</v>
      </c>
      <c r="D9" s="126" t="s">
        <v>207</v>
      </c>
    </row>
    <row r="10" ht="64.5" customHeight="1">
      <c r="B10" s="129" t="s">
        <v>208</v>
      </c>
      <c r="C10" s="130" t="s">
        <v>209</v>
      </c>
      <c r="D10" s="126" t="s">
        <v>210</v>
      </c>
    </row>
    <row r="11" ht="60.0" customHeight="1">
      <c r="B11" s="129" t="s">
        <v>211</v>
      </c>
      <c r="C11" s="130" t="s">
        <v>212</v>
      </c>
      <c r="D11" s="126" t="s">
        <v>213</v>
      </c>
    </row>
    <row r="12" ht="82.5" customHeight="1">
      <c r="B12" s="131" t="s">
        <v>214</v>
      </c>
      <c r="C12" s="132" t="s">
        <v>215</v>
      </c>
      <c r="D12" s="126" t="s">
        <v>216</v>
      </c>
    </row>
    <row r="13" ht="67.5" customHeight="1">
      <c r="B13" s="131" t="s">
        <v>217</v>
      </c>
      <c r="C13" s="132" t="s">
        <v>218</v>
      </c>
      <c r="D13" s="126" t="s">
        <v>219</v>
      </c>
    </row>
    <row r="14" ht="81.75" customHeight="1">
      <c r="B14" s="133" t="s">
        <v>220</v>
      </c>
      <c r="C14" s="134" t="s">
        <v>221</v>
      </c>
      <c r="D14" s="126" t="s">
        <v>222</v>
      </c>
    </row>
    <row r="15" ht="72.0" customHeight="1">
      <c r="B15" s="135" t="s">
        <v>223</v>
      </c>
      <c r="C15" s="136" t="s">
        <v>224</v>
      </c>
      <c r="D15" s="126" t="s">
        <v>225</v>
      </c>
    </row>
    <row r="16" ht="61.5" customHeight="1">
      <c r="B16" s="129" t="s">
        <v>226</v>
      </c>
      <c r="C16" s="130" t="s">
        <v>227</v>
      </c>
      <c r="D16" s="126" t="s">
        <v>228</v>
      </c>
    </row>
    <row r="17" ht="67.5" customHeight="1">
      <c r="B17" s="135" t="s">
        <v>229</v>
      </c>
      <c r="C17" s="136" t="s">
        <v>230</v>
      </c>
      <c r="D17" s="126" t="s">
        <v>231</v>
      </c>
    </row>
    <row r="18" ht="66.75" customHeight="1">
      <c r="B18" s="131" t="s">
        <v>232</v>
      </c>
      <c r="C18" s="132" t="s">
        <v>233</v>
      </c>
      <c r="D18" s="126" t="s">
        <v>234</v>
      </c>
    </row>
    <row r="20" ht="19.5" customHeight="1">
      <c r="B20" s="137" t="s">
        <v>235</v>
      </c>
      <c r="C20" s="43"/>
      <c r="D20" s="44"/>
    </row>
    <row r="21" ht="18.0" customHeight="1">
      <c r="B21" s="138" t="s">
        <v>70</v>
      </c>
      <c r="C21" s="138" t="s">
        <v>236</v>
      </c>
      <c r="D21" s="138" t="s">
        <v>237</v>
      </c>
    </row>
    <row r="22" ht="16.5" customHeight="1">
      <c r="B22" s="139" t="s">
        <v>38</v>
      </c>
      <c r="C22" s="140" t="s">
        <v>238</v>
      </c>
      <c r="D22" s="141" t="s">
        <v>239</v>
      </c>
    </row>
    <row r="23" ht="16.5" customHeight="1">
      <c r="B23" s="139" t="s">
        <v>26</v>
      </c>
      <c r="C23" s="140" t="s">
        <v>240</v>
      </c>
      <c r="D23" s="141" t="s">
        <v>241</v>
      </c>
    </row>
    <row r="24" ht="16.5" customHeight="1">
      <c r="B24" s="142" t="s">
        <v>83</v>
      </c>
      <c r="C24" s="143" t="s">
        <v>242</v>
      </c>
      <c r="D24" s="141" t="s">
        <v>243</v>
      </c>
    </row>
    <row r="25" ht="16.5" customHeight="1">
      <c r="B25" s="139" t="s">
        <v>85</v>
      </c>
      <c r="C25" s="140" t="s">
        <v>244</v>
      </c>
      <c r="D25" s="141" t="s">
        <v>245</v>
      </c>
    </row>
    <row r="26" ht="16.5" customHeight="1">
      <c r="B26" s="144" t="s">
        <v>35</v>
      </c>
      <c r="C26" s="145" t="s">
        <v>246</v>
      </c>
      <c r="D26" s="141" t="s">
        <v>247</v>
      </c>
    </row>
    <row r="27" ht="16.5" customHeight="1">
      <c r="B27" s="146" t="s">
        <v>90</v>
      </c>
      <c r="C27" s="147" t="s">
        <v>248</v>
      </c>
      <c r="D27" s="141" t="s">
        <v>249</v>
      </c>
    </row>
    <row r="28" ht="16.5" customHeight="1">
      <c r="B28" s="139" t="s">
        <v>49</v>
      </c>
      <c r="C28" s="140" t="s">
        <v>250</v>
      </c>
      <c r="D28" s="141" t="s">
        <v>251</v>
      </c>
    </row>
    <row r="29" ht="16.5" customHeight="1">
      <c r="B29" s="139" t="s">
        <v>47</v>
      </c>
      <c r="C29" s="140" t="s">
        <v>252</v>
      </c>
      <c r="D29" s="141" t="s">
        <v>253</v>
      </c>
    </row>
    <row r="30" ht="16.5" customHeight="1">
      <c r="B30" s="144" t="s">
        <v>19</v>
      </c>
      <c r="C30" s="145" t="s">
        <v>254</v>
      </c>
      <c r="D30" s="141" t="s">
        <v>255</v>
      </c>
    </row>
    <row r="31" ht="16.5" customHeight="1">
      <c r="B31" s="144" t="s">
        <v>43</v>
      </c>
      <c r="C31" s="145" t="s">
        <v>256</v>
      </c>
      <c r="D31" s="141" t="s">
        <v>257</v>
      </c>
    </row>
    <row r="32" ht="16.5" customHeight="1">
      <c r="B32" s="148" t="s">
        <v>115</v>
      </c>
      <c r="C32" s="149" t="s">
        <v>258</v>
      </c>
      <c r="D32" s="141" t="s">
        <v>259</v>
      </c>
    </row>
    <row r="33" ht="16.5" customHeight="1">
      <c r="B33" s="139" t="s">
        <v>23</v>
      </c>
      <c r="C33" s="140" t="s">
        <v>260</v>
      </c>
      <c r="D33" s="141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262</v>
      </c>
      <c r="B1" s="150" t="s">
        <v>263</v>
      </c>
      <c r="C1" s="150" t="s">
        <v>136</v>
      </c>
      <c r="D1" s="150"/>
      <c r="E1" s="150"/>
    </row>
    <row r="2">
      <c r="A2" s="151">
        <v>46165.0</v>
      </c>
      <c r="B2" s="150" t="s">
        <v>264</v>
      </c>
      <c r="C2" s="152">
        <v>10000.0</v>
      </c>
      <c r="D2" s="150"/>
      <c r="E2" s="150"/>
    </row>
    <row r="3">
      <c r="A3" s="151">
        <v>46166.0</v>
      </c>
      <c r="B3" s="150" t="s">
        <v>265</v>
      </c>
      <c r="C3" s="152">
        <v>19000.0</v>
      </c>
      <c r="D3" s="150"/>
      <c r="E3" s="150"/>
    </row>
    <row r="4">
      <c r="A4" s="151">
        <v>46168.0</v>
      </c>
      <c r="B4" s="150" t="s">
        <v>266</v>
      </c>
      <c r="C4" s="153">
        <v>2500.0</v>
      </c>
      <c r="D4" s="150"/>
      <c r="E4" s="150"/>
    </row>
    <row r="5">
      <c r="A5" s="151">
        <v>46169.0</v>
      </c>
      <c r="B5" s="150" t="s">
        <v>267</v>
      </c>
      <c r="C5" s="152">
        <v>29050.0</v>
      </c>
      <c r="D5" s="150"/>
      <c r="E5" s="150"/>
    </row>
    <row r="6">
      <c r="A6" s="151">
        <v>46169.0</v>
      </c>
      <c r="B6" s="150" t="s">
        <v>268</v>
      </c>
      <c r="C6" s="153">
        <v>100.0</v>
      </c>
      <c r="D6" s="150"/>
      <c r="E6" s="150"/>
    </row>
    <row r="7">
      <c r="A7" s="151">
        <v>46169.0</v>
      </c>
      <c r="B7" s="150" t="s">
        <v>269</v>
      </c>
      <c r="C7" s="153">
        <v>300.0</v>
      </c>
      <c r="D7" s="150"/>
      <c r="E7" s="150"/>
    </row>
    <row r="8">
      <c r="A8" s="151">
        <v>46169.0</v>
      </c>
      <c r="B8" s="150" t="s">
        <v>270</v>
      </c>
      <c r="C8" s="153">
        <v>370.0</v>
      </c>
      <c r="D8" s="150"/>
      <c r="E8" s="150"/>
    </row>
    <row r="9">
      <c r="A9" s="151">
        <v>46169.0</v>
      </c>
      <c r="B9" s="150" t="s">
        <v>167</v>
      </c>
      <c r="C9" s="153">
        <v>2494.0</v>
      </c>
      <c r="D9" s="150"/>
      <c r="E9" s="150"/>
    </row>
    <row r="10">
      <c r="A10" s="151">
        <v>46169.0</v>
      </c>
      <c r="B10" s="150" t="s">
        <v>271</v>
      </c>
      <c r="C10" s="153">
        <v>5000.0</v>
      </c>
      <c r="D10" s="150"/>
      <c r="E10" s="150"/>
    </row>
    <row r="11">
      <c r="A11" s="151">
        <v>46169.0</v>
      </c>
      <c r="B11" s="150" t="s">
        <v>272</v>
      </c>
      <c r="C11" s="152">
        <v>29000.0</v>
      </c>
      <c r="D11" s="150" t="s">
        <v>273</v>
      </c>
      <c r="E11" s="153">
        <v>24000.0</v>
      </c>
    </row>
    <row r="12">
      <c r="A12" s="151">
        <v>46169.0</v>
      </c>
      <c r="B12" s="150" t="s">
        <v>274</v>
      </c>
      <c r="C12" s="153">
        <v>400.0</v>
      </c>
      <c r="D12" s="150" t="s">
        <v>275</v>
      </c>
      <c r="E12" s="152">
        <v>53000.0</v>
      </c>
    </row>
    <row r="13">
      <c r="A13" s="151">
        <v>46169.0</v>
      </c>
      <c r="B13" s="150" t="s">
        <v>276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277</v>
      </c>
      <c r="B22" s="150" t="s">
        <v>262</v>
      </c>
      <c r="C22" s="150" t="s">
        <v>278</v>
      </c>
      <c r="D22" s="150" t="s">
        <v>136</v>
      </c>
      <c r="E22" s="150" t="s">
        <v>279</v>
      </c>
    </row>
    <row r="23">
      <c r="A23" s="150" t="s">
        <v>280</v>
      </c>
      <c r="B23" s="150" t="s">
        <v>281</v>
      </c>
      <c r="C23" s="150" t="s">
        <v>282</v>
      </c>
      <c r="D23" s="153">
        <v>3150.0</v>
      </c>
      <c r="E23" s="154">
        <v>46464.0</v>
      </c>
    </row>
    <row r="24">
      <c r="A24" s="150" t="s">
        <v>280</v>
      </c>
      <c r="B24" s="150" t="s">
        <v>281</v>
      </c>
      <c r="C24" s="150" t="s">
        <v>283</v>
      </c>
      <c r="D24" s="153">
        <v>2650.0</v>
      </c>
      <c r="E24" s="154">
        <v>46219.0</v>
      </c>
    </row>
    <row r="25">
      <c r="A25" s="150" t="s">
        <v>280</v>
      </c>
      <c r="B25" s="150" t="s">
        <v>281</v>
      </c>
      <c r="C25" s="150" t="s">
        <v>284</v>
      </c>
      <c r="D25" s="153">
        <v>2600.0</v>
      </c>
      <c r="E25" s="154">
        <v>46828.0</v>
      </c>
    </row>
    <row r="26">
      <c r="A26" s="150" t="s">
        <v>280</v>
      </c>
      <c r="B26" s="150" t="s">
        <v>281</v>
      </c>
      <c r="C26" s="150" t="s">
        <v>285</v>
      </c>
      <c r="D26" s="153">
        <v>2680.0</v>
      </c>
      <c r="E26" s="155">
        <v>46863.0</v>
      </c>
    </row>
    <row r="27">
      <c r="A27" s="150" t="s">
        <v>168</v>
      </c>
      <c r="B27" s="150" t="s">
        <v>286</v>
      </c>
      <c r="C27" s="150" t="s">
        <v>287</v>
      </c>
      <c r="D27" s="153">
        <v>5390.0</v>
      </c>
      <c r="E27" s="154">
        <v>46764.0</v>
      </c>
    </row>
    <row r="28">
      <c r="A28" s="150" t="s">
        <v>168</v>
      </c>
      <c r="B28" s="150" t="s">
        <v>286</v>
      </c>
      <c r="C28" s="150" t="s">
        <v>288</v>
      </c>
      <c r="D28" s="153">
        <v>3235.0</v>
      </c>
      <c r="E28" s="154">
        <v>46673.0</v>
      </c>
    </row>
    <row r="29">
      <c r="A29" s="150" t="s">
        <v>168</v>
      </c>
      <c r="B29" s="150" t="s">
        <v>286</v>
      </c>
      <c r="C29" s="150" t="s">
        <v>289</v>
      </c>
      <c r="D29" s="153">
        <v>1230.0</v>
      </c>
      <c r="E29" s="150" t="s">
        <v>290</v>
      </c>
    </row>
    <row r="30">
      <c r="A30" s="150" t="s">
        <v>291</v>
      </c>
      <c r="B30" s="150"/>
      <c r="C30" s="150" t="s">
        <v>282</v>
      </c>
      <c r="D30" s="153">
        <v>2960.0</v>
      </c>
      <c r="E30" s="150"/>
    </row>
    <row r="31">
      <c r="A31" s="150" t="s">
        <v>291</v>
      </c>
      <c r="B31" s="150"/>
      <c r="C31" s="150" t="s">
        <v>287</v>
      </c>
      <c r="D31" s="153">
        <v>2960.0</v>
      </c>
      <c r="E31" s="150"/>
    </row>
    <row r="32">
      <c r="A32" s="150" t="s">
        <v>292</v>
      </c>
      <c r="B32" s="150" t="s">
        <v>293</v>
      </c>
      <c r="C32" s="150"/>
      <c r="D32" s="153">
        <v>5000.0</v>
      </c>
      <c r="E32" s="150" t="s">
        <v>294</v>
      </c>
    </row>
    <row r="42">
      <c r="A42" s="156" t="s">
        <v>295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296</v>
      </c>
      <c r="C45" s="157" t="s">
        <v>297</v>
      </c>
      <c r="D45" s="157" t="s">
        <v>77</v>
      </c>
      <c r="E45" s="157" t="s">
        <v>298</v>
      </c>
      <c r="F45" s="157" t="s">
        <v>299</v>
      </c>
      <c r="G45" s="157" t="s">
        <v>300</v>
      </c>
      <c r="H45" s="157" t="s">
        <v>301</v>
      </c>
      <c r="I45" s="157" t="s">
        <v>302</v>
      </c>
      <c r="J45" s="157" t="s">
        <v>303</v>
      </c>
    </row>
    <row r="46">
      <c r="A46" s="158" t="s">
        <v>304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305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306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307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308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309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262</v>
      </c>
      <c r="B61" s="181" t="s">
        <v>310</v>
      </c>
      <c r="C61" s="181" t="s">
        <v>136</v>
      </c>
      <c r="D61" s="181" t="s">
        <v>311</v>
      </c>
      <c r="E61" s="181" t="s">
        <v>312</v>
      </c>
      <c r="F61" s="181" t="s">
        <v>313</v>
      </c>
      <c r="G61" s="181" t="s">
        <v>136</v>
      </c>
      <c r="H61" s="150"/>
      <c r="I61" s="181" t="s">
        <v>314</v>
      </c>
      <c r="J61" s="150" t="s">
        <v>315</v>
      </c>
    </row>
    <row r="62">
      <c r="A62" s="151">
        <v>46143.0</v>
      </c>
      <c r="B62" s="150" t="s">
        <v>316</v>
      </c>
      <c r="C62" s="182">
        <v>11839.0</v>
      </c>
      <c r="D62" s="183" t="b">
        <v>1</v>
      </c>
      <c r="E62" s="150" t="s">
        <v>317</v>
      </c>
      <c r="F62" s="150" t="s">
        <v>318</v>
      </c>
      <c r="G62" s="182">
        <v>71000.0</v>
      </c>
      <c r="H62" s="150"/>
      <c r="I62" s="181" t="s">
        <v>319</v>
      </c>
      <c r="J62" s="182">
        <f>SUM(C62:C1000)</f>
        <v>84657</v>
      </c>
    </row>
    <row r="63">
      <c r="A63" s="151">
        <v>46144.0</v>
      </c>
      <c r="B63" s="150" t="s">
        <v>320</v>
      </c>
      <c r="C63" s="182">
        <v>3850.0</v>
      </c>
      <c r="D63" s="183" t="b">
        <v>1</v>
      </c>
      <c r="E63" s="150" t="s">
        <v>321</v>
      </c>
      <c r="F63" s="150"/>
      <c r="G63" s="184"/>
      <c r="H63" s="150"/>
      <c r="I63" s="181" t="s">
        <v>301</v>
      </c>
      <c r="J63" s="182">
        <f>SUMIFS(C62:C1000, D62:D1000, TRUE)</f>
        <v>50435</v>
      </c>
    </row>
    <row r="64">
      <c r="A64" s="151">
        <v>46145.0</v>
      </c>
      <c r="B64" s="150" t="s">
        <v>322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323</v>
      </c>
      <c r="J64" s="182">
        <f>SUMIFS(C62:C1000, D62:D1000, FALSE)</f>
        <v>34222</v>
      </c>
    </row>
    <row r="65">
      <c r="A65" s="151">
        <v>46147.0</v>
      </c>
      <c r="B65" s="150" t="s">
        <v>324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325</v>
      </c>
      <c r="J65" s="182">
        <f>SUM(G62:G1000)</f>
        <v>71000</v>
      </c>
    </row>
    <row r="66">
      <c r="A66" s="151">
        <v>46167.0</v>
      </c>
      <c r="B66" s="150" t="s">
        <v>326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327</v>
      </c>
      <c r="J66" s="182">
        <f>J65-J62</f>
        <v>-13657</v>
      </c>
    </row>
    <row r="67">
      <c r="A67" s="151">
        <v>46146.0</v>
      </c>
      <c r="B67" s="150" t="s">
        <v>328</v>
      </c>
      <c r="C67" s="182">
        <v>13625.0</v>
      </c>
      <c r="D67" s="183" t="b">
        <v>1</v>
      </c>
      <c r="E67" s="150" t="s">
        <v>329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330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331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332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333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334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