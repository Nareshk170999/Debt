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<sst xmlns="http://schemas.openxmlformats.org/spreadsheetml/2006/main" count="460" uniqueCount="350">
  <si>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</si>
  <si>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</si>
  <si>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</si>
  <si>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</si>
  <si>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</si>
  <si>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</si>
  <si>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</si>
  <si>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</si>
  <si>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</si>
  <si>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Gold Loan Tracker</t>
  </si>
  <si>
    <t>Category</t>
  </si>
  <si>
    <t>Month</t>
  </si>
  <si>
    <t>End Date</t>
  </si>
  <si>
    <t>EMIs Left
(approx)</t>
  </si>
  <si>
    <t>Gram</t>
  </si>
  <si>
    <t>Amount</t>
  </si>
  <si>
    <t>Remaining
Amount (₹)</t>
  </si>
  <si>
    <t>Notes</t>
  </si>
  <si>
    <t>Interest in Bank</t>
  </si>
  <si>
    <t>SMFG Personal
(Naresh)</t>
  </si>
  <si>
    <t>Bank Name</t>
  </si>
  <si>
    <t>TO Amma</t>
  </si>
  <si>
    <t>Account Holder</t>
  </si>
  <si>
    <t>Loan Amount</t>
  </si>
  <si>
    <t>Month-by-Month Payment View — May 2026 to Dec 2030</t>
  </si>
  <si>
    <t>₹26,494</t>
  </si>
  <si>
    <t>Date of Kept</t>
  </si>
  <si>
    <t>Interest to Pay</t>
  </si>
  <si>
    <t>Personal</t>
  </si>
  <si>
    <t>Siva Priya Loan</t>
  </si>
  <si>
    <t>Apr 2031</t>
  </si>
  <si>
    <t>APPA</t>
  </si>
  <si>
    <t>AMMA</t>
  </si>
  <si>
    <t>CUB</t>
  </si>
  <si>
    <t>Mani Mozhi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</si>
  <si>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</si>
  <si>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</si>
  <si>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</si>
  <si>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</si>
  <si>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</si>
  <si>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</si>
  <si>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HOME EXPENSE</t>
  </si>
  <si>
    <t xml:space="preserve">GRINDER &amp; FAN </t>
  </si>
  <si>
    <t>Home Loan</t>
  </si>
  <si>
    <t>EMI FROM JULY 1740</t>
  </si>
  <si>
    <t>Dec 2030</t>
  </si>
  <si>
    <t>Thandal</t>
  </si>
  <si>
    <t>No prepayment penalty!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</si>
  <si>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</si>
  <si>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</si>
  <si>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</si>
  <si>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</si>
  <si>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</si>
  <si>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Oct 2026</t>
  </si>
  <si>
    <t>Income</t>
  </si>
  <si>
    <t>Veera kattu potathu</t>
  </si>
  <si>
    <t>Total EMI</t>
  </si>
  <si>
    <t>Krishnamoorthy</t>
  </si>
  <si>
    <t xml:space="preserve">TVS </t>
  </si>
  <si>
    <t>Urgent – 36-48% interest!</t>
  </si>
  <si>
    <t>(4K from Raghuls&amp; 1k Naresh).  6/4/2026</t>
  </si>
  <si>
    <t>Expenses</t>
  </si>
  <si>
    <t xml:space="preserve">Home expense </t>
  </si>
  <si>
    <t>TVS Excel
(Appa)</t>
  </si>
  <si>
    <t>Free Cash</t>
  </si>
  <si>
    <t xml:space="preserve">From Gold Loan.                                 5 June </t>
  </si>
  <si>
    <t>Veera Scooty EMI</t>
  </si>
  <si>
    <t>Events</t>
  </si>
  <si>
    <t xml:space="preserve">எண்ணெய் செட்டியார் </t>
  </si>
  <si>
    <t>Vehicle</t>
  </si>
  <si>
    <t>SivaPriya</t>
  </si>
  <si>
    <t>Jul 2027</t>
  </si>
  <si>
    <t>DIO Loan</t>
  </si>
  <si>
    <t>Samasta 1</t>
  </si>
  <si>
    <t>Samasta 2</t>
  </si>
  <si>
    <t>15 EMIs left</t>
  </si>
  <si>
    <t>Samasta 3</t>
  </si>
  <si>
    <t>Samasta 4</t>
  </si>
  <si>
    <t>ESAF 1</t>
  </si>
  <si>
    <t>ESAF 2</t>
  </si>
  <si>
    <t>ESAF 3</t>
  </si>
  <si>
    <t>Aasirvad 1</t>
  </si>
  <si>
    <t xml:space="preserve">Plumper </t>
  </si>
  <si>
    <t>NareshKumar</t>
  </si>
  <si>
    <t>Microfinance</t>
  </si>
  <si>
    <t>Aasirvad 1 2</t>
  </si>
  <si>
    <t>Mar 2027</t>
  </si>
  <si>
    <t>Other Loan</t>
  </si>
  <si>
    <t>EMI</t>
  </si>
  <si>
    <t>3rd Thu every month</t>
  </si>
  <si>
    <t>Jun 2026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</si>
  <si>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</si>
  <si>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</si>
  <si>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</si>
  <si>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</si>
  <si>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</si>
  <si>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</si>
  <si>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</si>
  <si>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</si>
  <si>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2nd Wed every month</t>
  </si>
  <si>
    <t>Appa Amma Dress</t>
  </si>
  <si>
    <t xml:space="preserve">Groceries </t>
  </si>
  <si>
    <t>Oct 2027</t>
  </si>
  <si>
    <t xml:space="preserve">From Gold Loan.                                 7 June </t>
  </si>
  <si>
    <t>Feb 2027</t>
  </si>
  <si>
    <t>Muthu Chithapa</t>
  </si>
  <si>
    <t xml:space="preserve">Scooty service </t>
  </si>
  <si>
    <t>Jun 2028</t>
  </si>
  <si>
    <t xml:space="preserve">From Gold Loan.                                 8 June </t>
  </si>
  <si>
    <t>Aasirvad EMIs</t>
  </si>
  <si>
    <t>Veera Dress</t>
  </si>
  <si>
    <t>Aasirvad 2</t>
  </si>
  <si>
    <t>ESAF</t>
  </si>
  <si>
    <t xml:space="preserve">10,000 from Naresh </t>
  </si>
  <si>
    <t>Dec 2028</t>
  </si>
  <si>
    <t>Misc family loan</t>
  </si>
  <si>
    <t>Bajai EMI</t>
  </si>
  <si>
    <t>Net Recharge</t>
  </si>
  <si>
    <t>DeC 2026</t>
  </si>
  <si>
    <t>Grinder &amp; Fan</t>
  </si>
  <si>
    <t>Appa</t>
  </si>
  <si>
    <t>TOTAL EMI / MONTH</t>
  </si>
  <si>
    <t>AMMA - Microloan</t>
  </si>
  <si>
    <t>FREE CASH AFTER EMIs</t>
  </si>
  <si>
    <t>Cylinder</t>
  </si>
  <si>
    <t>Other loan</t>
  </si>
  <si>
    <t>COLOR LEGEND</t>
  </si>
  <si>
    <t>Movie</t>
  </si>
  <si>
    <t>Credit Card — URGENT (36-48% interest)</t>
  </si>
  <si>
    <t>Mat</t>
  </si>
  <si>
    <t>Personal Loans</t>
  </si>
  <si>
    <t>Home Loan (no prepayment penalty)</t>
  </si>
  <si>
    <t>Gold coin -2 grams</t>
  </si>
  <si>
    <t>Vehicle Loans</t>
  </si>
  <si>
    <t xml:space="preserve">credit card.                                        25 June 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</si>
  <si>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</si>
  <si>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</si>
  <si>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</si>
  <si>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</si>
  <si>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</si>
  <si>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</si>
  <si>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</si>
  <si>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</si>
  <si>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</si>
  <si>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</si>
  <si>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</si>
  <si>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</si>
  <si>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</si>
  <si>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</si>
  <si>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</si>
  <si>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</si>
  <si>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</si>
  <si>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</si>
  <si>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</si>
  <si>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</si>
  <si>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</si>
  <si>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</si>
  <si>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</si>
  <si>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</si>
  <si>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</si>
  <si>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</si>
  <si>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</si>
  <si>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</si>
  <si>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</si>
  <si>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</si>
  <si>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</si>
  <si>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</si>
  <si>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</si>
  <si>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</si>
  <si>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</si>
  <si>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</si>
  <si>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</si>
  <si>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</si>
  <si>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</si>
  <si>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</si>
  <si>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</si>
  <si>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</si>
  <si>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</si>
  <si>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</si>
  <si>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</si>
  <si>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</si>
  <si>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</si>
  <si>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</si>
  <si>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</si>
  <si>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</si>
  <si>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 closes ✓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</si>
  <si>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</si>
  <si>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</si>
  <si>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</si>
  <si>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</si>
  <si>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</si>
  <si>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</si>
  <si>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</si>
  <si>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</si>
  <si>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</si>
  <si>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</si>
  <si>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</si>
  <si>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</si>
  <si>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</si>
  <si>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</si>
  <si>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</si>
  <si>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</si>
  <si>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</si>
  <si>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</si>
  <si>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</si>
  <si>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</si>
  <si>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</si>
  <si>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</si>
  <si>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</si>
  <si>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</si>
  <si>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</si>
  <si>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</si>
  <si>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</si>
  <si>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</si>
  <si>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</si>
  <si>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</si>
  <si>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</si>
  <si>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</si>
  <si>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</si>
  <si>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</si>
  <si>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</si>
  <si>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</si>
  <si>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</si>
  <si>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</si>
  <si>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</si>
  <si>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</si>
  <si>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</si>
  <si>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</si>
  <si>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</si>
  <si>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</si>
  <si>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</si>
  <si>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</si>
  <si>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</si>
  <si>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</si>
  <si>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</si>
  <si>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</si>
  <si>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</si>
  <si>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</si>
  <si>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</si>
  <si>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</si>
  <si>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</si>
  <si>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</si>
  <si>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</si>
  <si>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</si>
  <si>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</si>
  <si>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</si>
  <si>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</si>
  <si>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</si>
  <si>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</si>
  <si>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</si>
  <si>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</si>
  <si>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</si>
  <si>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</si>
  <si>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</si>
  <si>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</si>
  <si>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</si>
  <si>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</si>
  <si>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</si>
  <si>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</si>
  <si>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</si>
  <si>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</si>
  <si>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</si>
  <si>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</si>
  <si>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</si>
  <si>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</si>
  <si>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</si>
  <si>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</si>
  <si>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</si>
  <si>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</si>
  <si>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</si>
  <si>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</si>
  <si>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</si>
  <si>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</si>
  <si>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</si>
  <si>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</si>
  <si>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</si>
  <si>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</si>
  <si>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</si>
  <si>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</si>
  <si>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</si>
  <si>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</si>
  <si>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</si>
  <si>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</si>
  <si>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</si>
  <si>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</si>
  <si>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</si>
  <si>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</si>
  <si>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</si>
  <si>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</si>
  <si>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</si>
  <si>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</si>
  <si>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</si>
  <si>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</si>
  <si>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</si>
  <si>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</si>
  <si>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</si>
  <si>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</si>
  <si>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</si>
  <si>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</si>
  <si>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</si>
  <si>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</si>
  <si>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</si>
  <si>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</si>
  <si>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May 2027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</si>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</sst>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1" numFmtId="167" xfId="0" applyAlignment="1" applyBorder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0" fillId="6" fontId="9" numFmtId="0" xfId="0" applyFill="1" applyFont="1"/>
    <xf borderId="5" fillId="5" fontId="11" numFmtId="49" xfId="0" applyAlignment="1" applyBorder="1" applyFont="1" applyNumberFormat="1">
      <alignment horizontal="center" vertical="center"/>
    </xf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5" fillId="5" fontId="11" numFmtId="3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5" fillId="5" fontId="11" numFmtId="167" xfId="0" applyAlignment="1" applyBorder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5" fontId="11" numFmtId="49" xfId="0" applyAlignment="1" applyBorder="1" applyFont="1" applyNumberFormat="1">
      <alignment horizontal="left" vertical="center"/>
    </xf>
    <xf borderId="0" fillId="7" fontId="14" numFmtId="166" xfId="0" applyAlignment="1" applyFont="1" applyNumberFormat="1">
      <alignment horizontal="right" readingOrder="0" vertical="bottom"/>
    </xf>
    <xf borderId="0" fillId="0" fontId="13" numFmtId="164" xfId="0" applyAlignment="1" applyFont="1" applyNumberFormat="1">
      <alignment readingOrder="0"/>
    </xf>
    <xf borderId="0" fillId="7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8" fillId="0" fontId="2" numFmtId="0" xfId="0" applyBorder="1" applyFont="1"/>
    <xf borderId="0" fillId="0" fontId="13" numFmtId="169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7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9" fontId="11" numFmtId="49" xfId="0" applyAlignment="1" applyBorder="1" applyFont="1" applyNumberFormat="1">
      <alignment horizontal="left" vertical="center"/>
    </xf>
    <xf borderId="5" fillId="5" fontId="15" numFmtId="167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11" numFmtId="167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0" fillId="0" fontId="13" numFmtId="169" xfId="0" applyFont="1" applyNumberFormat="1"/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5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horizontal="right" readingOrder="0" vertical="center"/>
    </xf>
    <xf borderId="5" fillId="11" fontId="11" numFmtId="167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1" numFmtId="167" xfId="0" applyAlignment="1" applyBorder="1" applyFont="1" applyNumberFormat="1">
      <alignment shrinkToFit="0" vertical="center" wrapText="0"/>
    </xf>
    <xf borderId="5" fillId="12" fontId="11" numFmtId="167" xfId="0" applyAlignment="1" applyBorder="1" applyFont="1" applyNumberFormat="1">
      <alignment horizontal="center" shrinkToFit="0" vertical="center" wrapText="0"/>
    </xf>
    <xf borderId="5" fillId="12" fontId="11" numFmtId="167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7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1" numFmtId="167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7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1" numFmtId="167" xfId="0" applyAlignment="1" applyBorder="1" applyFont="1" applyNumberFormat="1">
      <alignment horizontal="center" shrinkToFit="0" vertical="center" wrapText="0"/>
    </xf>
    <xf borderId="6" fillId="8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1" fontId="1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1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3" fontId="21" numFmtId="167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4" fontId="22" numFmtId="167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7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7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10</v>
      </c>
      <c r="E7" s="11" t="s">
        <v>12</v>
      </c>
      <c r="F7" s="11" t="s">
        <v>13</v>
      </c>
      <c r="G7" s="11" t="s">
        <v>16</v>
      </c>
      <c r="H7" s="11" t="s">
        <v>17</v>
      </c>
    </row>
    <row r="8" ht="21.75" customHeight="1">
      <c r="B8" s="17" t="s">
        <v>19</v>
      </c>
      <c r="C8" s="20" t="s">
        <v>25</v>
      </c>
      <c r="D8" s="23" t="s">
        <v>28</v>
      </c>
      <c r="E8" s="23" t="s">
        <v>30</v>
      </c>
      <c r="F8" s="26">
        <v>59.0</v>
      </c>
      <c r="G8" s="29">
        <v>1563146.0</v>
      </c>
      <c r="H8" s="31" t="s">
        <v>35</v>
      </c>
    </row>
    <row r="9" ht="21.75" customHeight="1">
      <c r="B9" s="17" t="s">
        <v>36</v>
      </c>
      <c r="C9" s="29">
        <v>11839.0</v>
      </c>
      <c r="D9" s="23" t="s">
        <v>28</v>
      </c>
      <c r="E9" s="23" t="s">
        <v>37</v>
      </c>
      <c r="F9" s="26">
        <v>20.0</v>
      </c>
      <c r="G9" s="29">
        <v>236780.0</v>
      </c>
      <c r="H9" s="31" t="s">
        <v>39</v>
      </c>
    </row>
    <row r="10" ht="21.75" customHeight="1">
      <c r="B10" s="39" t="s">
        <v>40</v>
      </c>
      <c r="C10" s="40">
        <v>15250.0</v>
      </c>
      <c r="D10" s="41" t="s">
        <v>43</v>
      </c>
      <c r="E10" s="41" t="s">
        <v>45</v>
      </c>
      <c r="F10" s="42">
        <v>55.0</v>
      </c>
      <c r="G10" s="40">
        <v>838750.0</v>
      </c>
      <c r="H10" s="44" t="s">
        <v>47</v>
      </c>
    </row>
    <row r="11" ht="21.75" customHeight="1">
      <c r="B11" s="17" t="s">
        <v>49</v>
      </c>
      <c r="C11" s="45">
        <v>18972.0</v>
      </c>
      <c r="D11" s="23" t="s">
        <v>49</v>
      </c>
      <c r="E11" s="23" t="s">
        <v>53</v>
      </c>
      <c r="F11" s="26">
        <v>5.0</v>
      </c>
      <c r="G11" s="29">
        <v>94860.0</v>
      </c>
      <c r="H11" s="31" t="s">
        <v>59</v>
      </c>
    </row>
    <row r="12" ht="21.75" customHeight="1">
      <c r="B12" s="47" t="s">
        <v>63</v>
      </c>
      <c r="C12" s="48">
        <v>5087.0</v>
      </c>
      <c r="D12" s="50" t="s">
        <v>69</v>
      </c>
      <c r="E12" s="50" t="s">
        <v>71</v>
      </c>
      <c r="F12" s="51">
        <v>14.0</v>
      </c>
      <c r="G12" s="48">
        <v>71218.0</v>
      </c>
      <c r="H12" s="52" t="s">
        <v>75</v>
      </c>
    </row>
    <row r="13" ht="21.75" customHeight="1">
      <c r="B13" s="47" t="s">
        <v>72</v>
      </c>
      <c r="C13" s="48">
        <v>5638.0</v>
      </c>
      <c r="D13" s="50" t="s">
        <v>69</v>
      </c>
      <c r="E13" s="50" t="s">
        <v>71</v>
      </c>
      <c r="F13" s="51">
        <v>14.0</v>
      </c>
      <c r="G13" s="48">
        <v>78932.0</v>
      </c>
      <c r="H13" s="52" t="s">
        <v>75</v>
      </c>
    </row>
    <row r="14" ht="21.75" customHeight="1">
      <c r="B14" s="54" t="s">
        <v>73</v>
      </c>
      <c r="C14" s="56">
        <v>3150.0</v>
      </c>
      <c r="D14" s="58" t="s">
        <v>84</v>
      </c>
      <c r="E14" s="58" t="s">
        <v>86</v>
      </c>
      <c r="F14" s="59">
        <v>10.0</v>
      </c>
      <c r="G14" s="56">
        <v>31500.0</v>
      </c>
      <c r="H14" s="60" t="s">
        <v>89</v>
      </c>
    </row>
    <row r="15" ht="21.75" customHeight="1">
      <c r="B15" s="54" t="s">
        <v>74</v>
      </c>
      <c r="C15" s="56">
        <v>2650.0</v>
      </c>
      <c r="D15" s="58" t="s">
        <v>84</v>
      </c>
      <c r="E15" s="58" t="s">
        <v>91</v>
      </c>
      <c r="F15" s="59">
        <v>2.0</v>
      </c>
      <c r="G15" s="56">
        <v>5300.0</v>
      </c>
      <c r="H15" s="60" t="s">
        <v>93</v>
      </c>
    </row>
    <row r="16" ht="21.75" customHeight="1">
      <c r="B16" s="54" t="s">
        <v>76</v>
      </c>
      <c r="C16" s="56">
        <v>2600.0</v>
      </c>
      <c r="D16" s="58" t="s">
        <v>84</v>
      </c>
      <c r="E16" s="58" t="s">
        <v>95</v>
      </c>
      <c r="F16" s="59">
        <v>22.0</v>
      </c>
      <c r="G16" s="56">
        <v>57200.0</v>
      </c>
      <c r="H16" s="60" t="s">
        <v>89</v>
      </c>
    </row>
    <row r="17" ht="21.75" customHeight="1">
      <c r="B17" s="54" t="s">
        <v>77</v>
      </c>
      <c r="C17" s="56">
        <v>2680.0</v>
      </c>
      <c r="D17" s="58" t="s">
        <v>84</v>
      </c>
      <c r="E17" s="58" t="s">
        <v>97</v>
      </c>
      <c r="F17" s="59">
        <v>23.0</v>
      </c>
      <c r="G17" s="56">
        <v>61640.0</v>
      </c>
      <c r="H17" s="60" t="s">
        <v>89</v>
      </c>
    </row>
    <row r="18" ht="21.75" customHeight="1">
      <c r="B18" s="54" t="s">
        <v>78</v>
      </c>
      <c r="C18" s="56">
        <v>5390.0</v>
      </c>
      <c r="D18" s="58" t="s">
        <v>84</v>
      </c>
      <c r="E18" s="58" t="s">
        <v>37</v>
      </c>
      <c r="F18" s="59">
        <v>20.0</v>
      </c>
      <c r="G18" s="56">
        <v>107800.0</v>
      </c>
      <c r="H18" s="60" t="s">
        <v>99</v>
      </c>
    </row>
    <row r="19" ht="21.75" customHeight="1">
      <c r="B19" s="54" t="s">
        <v>79</v>
      </c>
      <c r="C19" s="56">
        <v>3235.0</v>
      </c>
      <c r="D19" s="58" t="s">
        <v>84</v>
      </c>
      <c r="E19" s="58" t="s">
        <v>102</v>
      </c>
      <c r="F19" s="59">
        <v>17.0</v>
      </c>
      <c r="G19" s="56">
        <v>54995.0</v>
      </c>
      <c r="H19" s="60" t="s">
        <v>99</v>
      </c>
    </row>
    <row r="20" ht="21.75" customHeight="1">
      <c r="B20" s="54" t="s">
        <v>80</v>
      </c>
      <c r="C20" s="56">
        <v>1230.0</v>
      </c>
      <c r="D20" s="58" t="s">
        <v>84</v>
      </c>
      <c r="E20" s="58" t="s">
        <v>104</v>
      </c>
      <c r="F20" s="59">
        <v>9.0</v>
      </c>
      <c r="G20" s="56">
        <v>11070.0</v>
      </c>
      <c r="H20" s="60" t="s">
        <v>99</v>
      </c>
    </row>
    <row r="21" ht="21.75" customHeight="1">
      <c r="B21" s="67" t="s">
        <v>81</v>
      </c>
      <c r="C21" s="69">
        <v>2970.0</v>
      </c>
      <c r="D21" s="58" t="s">
        <v>84</v>
      </c>
      <c r="E21" s="58" t="s">
        <v>107</v>
      </c>
      <c r="F21" s="59">
        <v>25.0</v>
      </c>
      <c r="G21" s="56">
        <v>148000.0</v>
      </c>
      <c r="H21" s="71" t="s">
        <v>109</v>
      </c>
    </row>
    <row r="22" ht="21.75" customHeight="1">
      <c r="B22" s="67" t="s">
        <v>111</v>
      </c>
      <c r="C22" s="69">
        <v>2970.0</v>
      </c>
      <c r="D22" s="58" t="s">
        <v>84</v>
      </c>
      <c r="E22" s="58" t="s">
        <v>107</v>
      </c>
      <c r="F22" s="59">
        <v>25.0</v>
      </c>
      <c r="G22" s="56">
        <v>148000.0</v>
      </c>
      <c r="H22" s="71" t="s">
        <v>109</v>
      </c>
    </row>
    <row r="23" ht="21.75" customHeight="1">
      <c r="B23" s="54" t="s">
        <v>87</v>
      </c>
      <c r="C23" s="56">
        <v>5000.0</v>
      </c>
      <c r="D23" s="58" t="s">
        <v>84</v>
      </c>
      <c r="E23" s="58" t="s">
        <v>114</v>
      </c>
      <c r="F23" s="59">
        <v>31.0</v>
      </c>
      <c r="G23" s="56">
        <v>155000.0</v>
      </c>
      <c r="H23" s="60" t="s">
        <v>115</v>
      </c>
    </row>
    <row r="24" ht="21.75" customHeight="1">
      <c r="B24" s="67" t="s">
        <v>116</v>
      </c>
      <c r="C24" s="69">
        <v>1740.0</v>
      </c>
      <c r="D24" s="75" t="s">
        <v>116</v>
      </c>
      <c r="E24" s="75" t="s">
        <v>118</v>
      </c>
      <c r="F24" s="76">
        <v>6.0</v>
      </c>
      <c r="G24" s="69">
        <v>12590.0</v>
      </c>
      <c r="H24" s="71" t="s">
        <v>119</v>
      </c>
    </row>
    <row r="25" ht="21.75" customHeight="1">
      <c r="B25" s="77" t="s">
        <v>121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7" t="s">
        <v>123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8" t="s">
        <v>126</v>
      </c>
      <c r="C28" s="27"/>
      <c r="D28" s="27"/>
      <c r="E28" s="27"/>
      <c r="F28" s="27"/>
      <c r="G28" s="27"/>
      <c r="H28" s="36"/>
    </row>
    <row r="29" ht="15.75" customHeight="1">
      <c r="B29" s="82" t="s">
        <v>128</v>
      </c>
      <c r="C29" s="27"/>
      <c r="D29" s="27"/>
      <c r="E29" s="27"/>
      <c r="F29" s="27"/>
      <c r="G29" s="27"/>
      <c r="H29" s="83"/>
    </row>
    <row r="30" ht="15.75" customHeight="1">
      <c r="B30" s="82" t="s">
        <v>130</v>
      </c>
      <c r="C30" s="27"/>
      <c r="D30" s="27"/>
      <c r="E30" s="27"/>
      <c r="F30" s="27"/>
      <c r="G30" s="27"/>
      <c r="H30" s="83"/>
    </row>
    <row r="31" ht="15.75" customHeight="1">
      <c r="B31" s="84" t="s">
        <v>131</v>
      </c>
      <c r="C31" s="27"/>
      <c r="D31" s="27"/>
      <c r="E31" s="27"/>
      <c r="F31" s="27"/>
      <c r="G31" s="27"/>
      <c r="H31" s="83"/>
    </row>
    <row r="32" ht="15.75" customHeight="1">
      <c r="B32" s="85" t="s">
        <v>133</v>
      </c>
      <c r="C32" s="27"/>
      <c r="D32" s="27"/>
      <c r="E32" s="27"/>
      <c r="F32" s="27"/>
      <c r="G32" s="27"/>
      <c r="H32" s="83"/>
    </row>
    <row r="33" ht="15.75" customHeight="1">
      <c r="B33" s="86" t="s">
        <v>135</v>
      </c>
      <c r="C33" s="27"/>
      <c r="D33" s="27"/>
      <c r="E33" s="27"/>
      <c r="F33" s="27"/>
      <c r="G33" s="27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6"/>
    </row>
    <row r="2" ht="15.75" customHeight="1">
      <c r="B2" s="38" t="s">
        <v>38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6"/>
    </row>
    <row r="3" ht="7.5" customHeight="1"/>
    <row r="4" ht="36.0" customHeight="1">
      <c r="B4" s="46" t="s">
        <v>11</v>
      </c>
      <c r="C4" s="46" t="s">
        <v>54</v>
      </c>
      <c r="D4" s="46" t="s">
        <v>56</v>
      </c>
      <c r="E4" s="46" t="s">
        <v>61</v>
      </c>
      <c r="F4" s="46" t="s">
        <v>64</v>
      </c>
      <c r="G4" s="46" t="s">
        <v>67</v>
      </c>
      <c r="H4" s="49" t="s">
        <v>19</v>
      </c>
      <c r="I4" s="49" t="s">
        <v>36</v>
      </c>
      <c r="J4" s="49" t="s">
        <v>40</v>
      </c>
      <c r="K4" s="49" t="s">
        <v>49</v>
      </c>
      <c r="L4" s="49" t="s">
        <v>63</v>
      </c>
      <c r="M4" s="49" t="s">
        <v>72</v>
      </c>
      <c r="N4" s="49" t="s">
        <v>73</v>
      </c>
      <c r="O4" s="49" t="s">
        <v>74</v>
      </c>
      <c r="P4" s="49" t="s">
        <v>76</v>
      </c>
      <c r="Q4" s="49" t="s">
        <v>77</v>
      </c>
      <c r="R4" s="49" t="s">
        <v>78</v>
      </c>
      <c r="S4" s="49" t="s">
        <v>79</v>
      </c>
      <c r="T4" s="49" t="s">
        <v>80</v>
      </c>
      <c r="U4" s="57" t="s">
        <v>81</v>
      </c>
      <c r="V4" s="57" t="s">
        <v>85</v>
      </c>
      <c r="W4" s="49" t="s">
        <v>87</v>
      </c>
      <c r="X4" s="49" t="s">
        <v>88</v>
      </c>
    </row>
    <row r="5" ht="22.5" customHeight="1">
      <c r="B5" s="62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3">
        <v>18972.0</v>
      </c>
      <c r="L5" s="74">
        <v>4500.0</v>
      </c>
      <c r="M5" s="74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4">
        <v>0.0</v>
      </c>
    </row>
    <row r="6" ht="22.5" customHeight="1">
      <c r="B6" s="80" t="s">
        <v>91</v>
      </c>
      <c r="C6" s="64">
        <f>Loans!$C$5</f>
        <v>110000</v>
      </c>
      <c r="D6" s="81">
        <f t="shared" si="1"/>
        <v>121570</v>
      </c>
      <c r="E6" s="81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7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3">
        <v>18972.0</v>
      </c>
      <c r="L7" s="74">
        <v>4500.0</v>
      </c>
      <c r="M7" s="74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0">
        <v>1740.0</v>
      </c>
    </row>
    <row r="9" ht="22.5" customHeight="1">
      <c r="B9" s="80" t="s">
        <v>53</v>
      </c>
      <c r="C9" s="64">
        <f>Loans!$C$5</f>
        <v>110000</v>
      </c>
      <c r="D9" s="81">
        <f t="shared" si="1"/>
        <v>118920</v>
      </c>
      <c r="E9" s="81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7" t="s">
        <v>185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0">
        <v>1740.0</v>
      </c>
    </row>
    <row r="11" ht="22.5" customHeight="1">
      <c r="B11" s="62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4">
        <v>4500.0</v>
      </c>
      <c r="M11" s="74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0" t="s">
        <v>104</v>
      </c>
      <c r="C13" s="64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2">
        <f t="shared" si="2"/>
        <v>11792</v>
      </c>
      <c r="G13" s="87" t="s">
        <v>274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7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0" t="s">
        <v>86</v>
      </c>
      <c r="C14" s="64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2">
        <f t="shared" si="2"/>
        <v>13022</v>
      </c>
      <c r="G14" s="87" t="s">
        <v>277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5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3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2" t="s">
        <v>287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4">
        <v>4500.0</v>
      </c>
      <c r="M15" s="74">
        <v>5000.0</v>
      </c>
      <c r="N15" s="173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73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303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73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3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4">
        <v>4500.0</v>
      </c>
      <c r="M17" s="74">
        <v>5000.0</v>
      </c>
      <c r="N17" s="173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3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71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4">
        <v>4500.0</v>
      </c>
      <c r="M18" s="74">
        <v>5000.0</v>
      </c>
      <c r="N18" s="173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3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62" t="s">
        <v>309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73"/>
      <c r="M19" s="173"/>
      <c r="N19" s="173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73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3"/>
      <c r="M20" s="173"/>
      <c r="N20" s="173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3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0" t="s">
        <v>102</v>
      </c>
      <c r="C21" s="64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2">
        <f t="shared" si="2"/>
        <v>25672</v>
      </c>
      <c r="G21" s="87" t="s">
        <v>311</v>
      </c>
      <c r="H21" s="89">
        <v>26494.0</v>
      </c>
      <c r="I21" s="89">
        <v>11839.0</v>
      </c>
      <c r="J21" s="89">
        <v>15250.0</v>
      </c>
      <c r="K21" s="93"/>
      <c r="L21" s="173"/>
      <c r="M21" s="173"/>
      <c r="N21" s="173"/>
      <c r="O21" s="93"/>
      <c r="P21" s="89">
        <v>2600.0</v>
      </c>
      <c r="Q21" s="89">
        <v>2680.0</v>
      </c>
      <c r="R21" s="89">
        <v>5390.0</v>
      </c>
      <c r="S21" s="157">
        <v>3235.0</v>
      </c>
      <c r="T21" s="173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3"/>
      <c r="M22" s="173"/>
      <c r="N22" s="173"/>
      <c r="O22" s="93"/>
      <c r="P22" s="98">
        <v>2600.0</v>
      </c>
      <c r="Q22" s="98">
        <v>2680.0</v>
      </c>
      <c r="R22" s="98">
        <v>5390.0</v>
      </c>
      <c r="S22" s="173"/>
      <c r="T22" s="173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2" t="s">
        <v>313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73"/>
      <c r="M23" s="173"/>
      <c r="N23" s="173"/>
      <c r="O23" s="93"/>
      <c r="P23" s="72">
        <v>2600.0</v>
      </c>
      <c r="Q23" s="72">
        <v>2680.0</v>
      </c>
      <c r="R23" s="72">
        <v>5390.0</v>
      </c>
      <c r="S23" s="173"/>
      <c r="T23" s="173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85" t="s">
        <v>37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57">
        <v>11839.0</v>
      </c>
      <c r="J24" s="190">
        <v>15250.0</v>
      </c>
      <c r="K24" s="93"/>
      <c r="L24" s="173"/>
      <c r="M24" s="173"/>
      <c r="N24" s="173"/>
      <c r="O24" s="93"/>
      <c r="P24" s="190">
        <v>2600.0</v>
      </c>
      <c r="Q24" s="190">
        <v>2680.0</v>
      </c>
      <c r="R24" s="157">
        <v>5390.0</v>
      </c>
      <c r="S24" s="173"/>
      <c r="T24" s="173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62" t="s">
        <v>315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8"/>
      <c r="H25" s="72">
        <v>26494.0</v>
      </c>
      <c r="I25" s="173"/>
      <c r="J25" s="72">
        <v>15250.0</v>
      </c>
      <c r="K25" s="93"/>
      <c r="L25" s="173"/>
      <c r="M25" s="173"/>
      <c r="N25" s="173"/>
      <c r="O25" s="93"/>
      <c r="P25" s="72">
        <v>2600.0</v>
      </c>
      <c r="Q25" s="72">
        <v>2680.0</v>
      </c>
      <c r="R25" s="173"/>
      <c r="S25" s="173"/>
      <c r="T25" s="173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0" t="s">
        <v>95</v>
      </c>
      <c r="C26" s="64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2">
        <f t="shared" si="2"/>
        <v>46136</v>
      </c>
      <c r="G26" s="87" t="s">
        <v>316</v>
      </c>
      <c r="H26" s="89">
        <v>26494.0</v>
      </c>
      <c r="I26" s="173"/>
      <c r="J26" s="89">
        <v>15250.0</v>
      </c>
      <c r="K26" s="93"/>
      <c r="L26" s="173"/>
      <c r="M26" s="173"/>
      <c r="N26" s="173"/>
      <c r="O26" s="93"/>
      <c r="P26" s="157">
        <v>2600.0</v>
      </c>
      <c r="Q26" s="89">
        <v>2680.0</v>
      </c>
      <c r="R26" s="173"/>
      <c r="S26" s="173"/>
      <c r="T26" s="173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0" t="s">
        <v>97</v>
      </c>
      <c r="C27" s="64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2">
        <f t="shared" si="2"/>
        <v>48736</v>
      </c>
      <c r="G27" s="87" t="s">
        <v>317</v>
      </c>
      <c r="H27" s="89">
        <v>26494.0</v>
      </c>
      <c r="I27" s="173"/>
      <c r="J27" s="89">
        <v>15250.0</v>
      </c>
      <c r="K27" s="93"/>
      <c r="L27" s="173"/>
      <c r="M27" s="173"/>
      <c r="N27" s="173"/>
      <c r="O27" s="93"/>
      <c r="P27" s="173"/>
      <c r="Q27" s="157">
        <v>2680.0</v>
      </c>
      <c r="R27" s="173"/>
      <c r="S27" s="173"/>
      <c r="T27" s="173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73"/>
      <c r="J28" s="98">
        <v>15250.0</v>
      </c>
      <c r="K28" s="93"/>
      <c r="L28" s="173"/>
      <c r="M28" s="173"/>
      <c r="N28" s="173"/>
      <c r="O28" s="93"/>
      <c r="P28" s="173"/>
      <c r="Q28" s="173"/>
      <c r="R28" s="173"/>
      <c r="S28" s="173"/>
      <c r="T28" s="173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0" t="s">
        <v>107</v>
      </c>
      <c r="C29" s="64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2">
        <f t="shared" si="2"/>
        <v>51416</v>
      </c>
      <c r="G29" s="87" t="s">
        <v>319</v>
      </c>
      <c r="H29" s="89">
        <v>26494.0</v>
      </c>
      <c r="I29" s="173"/>
      <c r="J29" s="89">
        <v>15250.0</v>
      </c>
      <c r="K29" s="93"/>
      <c r="L29" s="173"/>
      <c r="M29" s="173"/>
      <c r="N29" s="173"/>
      <c r="O29" s="93"/>
      <c r="P29" s="173"/>
      <c r="Q29" s="173"/>
      <c r="R29" s="173"/>
      <c r="S29" s="173"/>
      <c r="T29" s="173"/>
      <c r="U29" s="157">
        <v>5920.0</v>
      </c>
      <c r="V29" s="157">
        <v>5920.0</v>
      </c>
      <c r="W29" s="89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73"/>
      <c r="J30" s="98">
        <v>15250.0</v>
      </c>
      <c r="K30" s="93"/>
      <c r="L30" s="173"/>
      <c r="M30" s="173"/>
      <c r="N30" s="173"/>
      <c r="O30" s="93"/>
      <c r="P30" s="173"/>
      <c r="Q30" s="173"/>
      <c r="R30" s="173"/>
      <c r="S30" s="173"/>
      <c r="T30" s="173"/>
      <c r="U30" s="173"/>
      <c r="V30" s="173"/>
      <c r="W30" s="98">
        <v>5000.0</v>
      </c>
      <c r="X30" s="98"/>
    </row>
    <row r="31" ht="15.75" customHeight="1">
      <c r="B31" s="62" t="s">
        <v>321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8"/>
      <c r="H31" s="72">
        <v>26494.0</v>
      </c>
      <c r="I31" s="173"/>
      <c r="J31" s="72">
        <v>15250.0</v>
      </c>
      <c r="K31" s="93"/>
      <c r="L31" s="173"/>
      <c r="M31" s="173"/>
      <c r="N31" s="173"/>
      <c r="O31" s="93"/>
      <c r="P31" s="173"/>
      <c r="Q31" s="173"/>
      <c r="R31" s="173"/>
      <c r="S31" s="173"/>
      <c r="T31" s="173"/>
      <c r="U31" s="173"/>
      <c r="V31" s="173"/>
      <c r="W31" s="72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73"/>
      <c r="J32" s="98">
        <v>15250.0</v>
      </c>
      <c r="K32" s="93"/>
      <c r="L32" s="173"/>
      <c r="M32" s="173"/>
      <c r="N32" s="173"/>
      <c r="O32" s="93"/>
      <c r="P32" s="173"/>
      <c r="Q32" s="173"/>
      <c r="R32" s="173"/>
      <c r="S32" s="173"/>
      <c r="T32" s="173"/>
      <c r="U32" s="173"/>
      <c r="V32" s="173"/>
      <c r="W32" s="98">
        <v>5000.0</v>
      </c>
      <c r="X32" s="98"/>
    </row>
    <row r="33" ht="15.75" customHeight="1">
      <c r="B33" s="62" t="s">
        <v>323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8"/>
      <c r="H33" s="72">
        <v>26494.0</v>
      </c>
      <c r="I33" s="173"/>
      <c r="J33" s="72">
        <v>15250.0</v>
      </c>
      <c r="K33" s="93"/>
      <c r="L33" s="173"/>
      <c r="M33" s="173"/>
      <c r="N33" s="173"/>
      <c r="O33" s="93"/>
      <c r="P33" s="173"/>
      <c r="Q33" s="173"/>
      <c r="R33" s="173"/>
      <c r="S33" s="173"/>
      <c r="T33" s="173"/>
      <c r="U33" s="173"/>
      <c r="V33" s="173"/>
      <c r="W33" s="72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73"/>
      <c r="J34" s="98">
        <v>15250.0</v>
      </c>
      <c r="K34" s="93"/>
      <c r="L34" s="173"/>
      <c r="M34" s="173"/>
      <c r="N34" s="173"/>
      <c r="O34" s="93"/>
      <c r="P34" s="173"/>
      <c r="Q34" s="173"/>
      <c r="R34" s="173"/>
      <c r="S34" s="173"/>
      <c r="T34" s="173"/>
      <c r="U34" s="173"/>
      <c r="V34" s="173"/>
      <c r="W34" s="98">
        <v>5000.0</v>
      </c>
      <c r="X34" s="98"/>
    </row>
    <row r="35" ht="15.75" customHeight="1">
      <c r="B35" s="80" t="s">
        <v>114</v>
      </c>
      <c r="C35" s="64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2">
        <f t="shared" si="2"/>
        <v>63256</v>
      </c>
      <c r="G35" s="87" t="s">
        <v>325</v>
      </c>
      <c r="H35" s="89">
        <v>26494.0</v>
      </c>
      <c r="I35" s="173"/>
      <c r="J35" s="89">
        <v>15250.0</v>
      </c>
      <c r="K35" s="93"/>
      <c r="L35" s="173"/>
      <c r="M35" s="173"/>
      <c r="N35" s="173"/>
      <c r="O35" s="93"/>
      <c r="P35" s="173"/>
      <c r="Q35" s="173"/>
      <c r="R35" s="173"/>
      <c r="S35" s="173"/>
      <c r="T35" s="173"/>
      <c r="U35" s="173"/>
      <c r="V35" s="173"/>
      <c r="W35" s="157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73"/>
      <c r="J36" s="98">
        <v>15250.0</v>
      </c>
      <c r="K36" s="93"/>
      <c r="L36" s="173"/>
      <c r="M36" s="173"/>
      <c r="N36" s="173"/>
      <c r="O36" s="93"/>
      <c r="P36" s="173"/>
      <c r="Q36" s="173"/>
      <c r="R36" s="173"/>
      <c r="S36" s="173"/>
      <c r="T36" s="173"/>
      <c r="U36" s="173"/>
      <c r="V36" s="173"/>
      <c r="W36" s="173"/>
      <c r="X36" s="173"/>
    </row>
    <row r="37" ht="15.75" customHeight="1">
      <c r="B37" s="62" t="s">
        <v>327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8"/>
      <c r="H37" s="72">
        <v>26494.0</v>
      </c>
      <c r="I37" s="173"/>
      <c r="J37" s="72">
        <v>15250.0</v>
      </c>
      <c r="K37" s="93"/>
      <c r="L37" s="173"/>
      <c r="M37" s="173"/>
      <c r="N37" s="173"/>
      <c r="O37" s="93"/>
      <c r="P37" s="173"/>
      <c r="Q37" s="173"/>
      <c r="R37" s="173"/>
      <c r="S37" s="173"/>
      <c r="T37" s="173"/>
      <c r="U37" s="173"/>
      <c r="V37" s="173"/>
      <c r="W37" s="173"/>
      <c r="X37" s="173"/>
    </row>
    <row r="38" ht="15.75" customHeight="1">
      <c r="B38" s="94" t="s">
        <v>328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73"/>
      <c r="J38" s="98">
        <v>15250.0</v>
      </c>
      <c r="K38" s="93"/>
      <c r="L38" s="173"/>
      <c r="M38" s="173"/>
      <c r="N38" s="173"/>
      <c r="O38" s="93"/>
      <c r="P38" s="173"/>
      <c r="Q38" s="173"/>
      <c r="R38" s="173"/>
      <c r="S38" s="173"/>
      <c r="T38" s="173"/>
      <c r="U38" s="173"/>
      <c r="V38" s="173"/>
      <c r="W38" s="173"/>
      <c r="X38" s="173"/>
    </row>
    <row r="39" ht="15.75" customHeight="1">
      <c r="B39" s="62" t="s">
        <v>329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8"/>
      <c r="H39" s="72">
        <v>26494.0</v>
      </c>
      <c r="I39" s="173"/>
      <c r="J39" s="72">
        <v>15250.0</v>
      </c>
      <c r="K39" s="93"/>
      <c r="L39" s="173"/>
      <c r="M39" s="173"/>
      <c r="N39" s="173"/>
      <c r="O39" s="93"/>
      <c r="P39" s="173"/>
      <c r="Q39" s="173"/>
      <c r="R39" s="173"/>
      <c r="S39" s="173"/>
      <c r="T39" s="173"/>
      <c r="U39" s="173"/>
      <c r="V39" s="173"/>
      <c r="W39" s="173"/>
      <c r="X39" s="173"/>
    </row>
    <row r="40" ht="15.75" customHeight="1">
      <c r="B40" s="94" t="s">
        <v>330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73"/>
      <c r="J40" s="98">
        <v>15250.0</v>
      </c>
      <c r="K40" s="93"/>
      <c r="L40" s="173"/>
      <c r="M40" s="173"/>
      <c r="N40" s="173"/>
      <c r="O40" s="93"/>
      <c r="P40" s="173"/>
      <c r="Q40" s="173"/>
      <c r="R40" s="173"/>
      <c r="S40" s="173"/>
      <c r="T40" s="173"/>
      <c r="U40" s="173"/>
      <c r="V40" s="173"/>
      <c r="W40" s="173"/>
      <c r="X40" s="173"/>
    </row>
    <row r="41" ht="15.75" customHeight="1">
      <c r="B41" s="62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1" t="s">
        <v>331</v>
      </c>
      <c r="H41" s="72">
        <v>26494.0</v>
      </c>
      <c r="I41" s="173"/>
      <c r="J41" s="72">
        <v>15250.0</v>
      </c>
      <c r="K41" s="93"/>
      <c r="L41" s="173"/>
      <c r="M41" s="173"/>
      <c r="N41" s="173"/>
      <c r="O41" s="93"/>
      <c r="P41" s="173"/>
      <c r="Q41" s="173"/>
      <c r="R41" s="173"/>
      <c r="S41" s="173"/>
      <c r="T41" s="173"/>
      <c r="U41" s="173"/>
      <c r="V41" s="173"/>
      <c r="W41" s="173"/>
      <c r="X41" s="173"/>
    </row>
    <row r="42" ht="15.75" customHeight="1">
      <c r="B42" s="94" t="s">
        <v>332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73"/>
      <c r="J42" s="98">
        <v>15250.0</v>
      </c>
      <c r="K42" s="93"/>
      <c r="L42" s="173"/>
      <c r="M42" s="173"/>
      <c r="N42" s="173"/>
      <c r="O42" s="93"/>
      <c r="P42" s="173"/>
      <c r="Q42" s="173"/>
      <c r="R42" s="173"/>
      <c r="S42" s="173"/>
      <c r="T42" s="173"/>
      <c r="U42" s="173"/>
      <c r="V42" s="173"/>
      <c r="W42" s="173"/>
      <c r="X42" s="173"/>
    </row>
    <row r="43" ht="15.75" customHeight="1">
      <c r="B43" s="62" t="s">
        <v>333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8"/>
      <c r="H43" s="72">
        <v>26494.0</v>
      </c>
      <c r="I43" s="173"/>
      <c r="J43" s="72">
        <v>15250.0</v>
      </c>
      <c r="K43" s="93"/>
      <c r="L43" s="173"/>
      <c r="M43" s="173"/>
      <c r="N43" s="173"/>
      <c r="O43" s="93"/>
      <c r="P43" s="173"/>
      <c r="Q43" s="173"/>
      <c r="R43" s="173"/>
      <c r="S43" s="173"/>
      <c r="T43" s="173"/>
      <c r="U43" s="173"/>
      <c r="V43" s="173"/>
      <c r="W43" s="173"/>
      <c r="X43" s="173"/>
    </row>
    <row r="44" ht="15.75" customHeight="1">
      <c r="B44" s="94" t="s">
        <v>334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73"/>
      <c r="J44" s="98">
        <v>15250.0</v>
      </c>
      <c r="K44" s="93"/>
      <c r="L44" s="173"/>
      <c r="M44" s="173"/>
      <c r="N44" s="173"/>
      <c r="O44" s="93"/>
      <c r="P44" s="173"/>
      <c r="Q44" s="173"/>
      <c r="R44" s="173"/>
      <c r="S44" s="173"/>
      <c r="T44" s="173"/>
      <c r="U44" s="173"/>
      <c r="V44" s="173"/>
      <c r="W44" s="173"/>
      <c r="X44" s="173"/>
    </row>
    <row r="45" ht="15.75" customHeight="1">
      <c r="B45" s="62" t="s">
        <v>335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8"/>
      <c r="H45" s="72">
        <v>26494.0</v>
      </c>
      <c r="I45" s="173"/>
      <c r="J45" s="72">
        <v>15250.0</v>
      </c>
      <c r="K45" s="93"/>
      <c r="L45" s="173"/>
      <c r="M45" s="173"/>
      <c r="N45" s="173"/>
      <c r="O45" s="93"/>
      <c r="P45" s="173"/>
      <c r="Q45" s="173"/>
      <c r="R45" s="173"/>
      <c r="S45" s="173"/>
      <c r="T45" s="173"/>
      <c r="U45" s="173"/>
      <c r="V45" s="173"/>
      <c r="W45" s="173"/>
      <c r="X45" s="173"/>
    </row>
    <row r="46" ht="15.75" customHeight="1">
      <c r="B46" s="94" t="s">
        <v>336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73"/>
      <c r="J46" s="98">
        <v>15250.0</v>
      </c>
      <c r="K46" s="93"/>
      <c r="L46" s="173"/>
      <c r="M46" s="173"/>
      <c r="N46" s="173"/>
      <c r="O46" s="93"/>
      <c r="P46" s="173"/>
      <c r="Q46" s="173"/>
      <c r="R46" s="173"/>
      <c r="S46" s="173"/>
      <c r="T46" s="173"/>
      <c r="U46" s="173"/>
      <c r="V46" s="173"/>
      <c r="W46" s="173"/>
      <c r="X46" s="173"/>
    </row>
    <row r="47" ht="15.75" customHeight="1">
      <c r="B47" s="62" t="s">
        <v>337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8"/>
      <c r="H47" s="72">
        <v>26494.0</v>
      </c>
      <c r="I47" s="173"/>
      <c r="J47" s="72">
        <v>15250.0</v>
      </c>
      <c r="K47" s="93"/>
      <c r="L47" s="173"/>
      <c r="M47" s="173"/>
      <c r="N47" s="173"/>
      <c r="O47" s="93"/>
      <c r="P47" s="173"/>
      <c r="Q47" s="173"/>
      <c r="R47" s="173"/>
      <c r="S47" s="173"/>
      <c r="T47" s="173"/>
      <c r="U47" s="173"/>
      <c r="V47" s="173"/>
      <c r="W47" s="173"/>
      <c r="X47" s="173"/>
    </row>
    <row r="48" ht="15.75" customHeight="1">
      <c r="B48" s="94" t="s">
        <v>338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73"/>
      <c r="J48" s="98">
        <v>15250.0</v>
      </c>
      <c r="K48" s="93"/>
      <c r="L48" s="173"/>
      <c r="M48" s="173"/>
      <c r="N48" s="173"/>
      <c r="O48" s="93"/>
      <c r="P48" s="173"/>
      <c r="Q48" s="173"/>
      <c r="R48" s="173"/>
      <c r="S48" s="173"/>
      <c r="T48" s="173"/>
      <c r="U48" s="173"/>
      <c r="V48" s="173"/>
      <c r="W48" s="173"/>
      <c r="X48" s="173"/>
    </row>
    <row r="49" ht="15.75" customHeight="1">
      <c r="B49" s="62" t="s">
        <v>339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8"/>
      <c r="H49" s="72">
        <v>26494.0</v>
      </c>
      <c r="I49" s="173"/>
      <c r="J49" s="72">
        <v>15250.0</v>
      </c>
      <c r="K49" s="93"/>
      <c r="L49" s="173"/>
      <c r="M49" s="173"/>
      <c r="N49" s="173"/>
      <c r="O49" s="93"/>
      <c r="P49" s="173"/>
      <c r="Q49" s="173"/>
      <c r="R49" s="173"/>
      <c r="S49" s="173"/>
      <c r="T49" s="173"/>
      <c r="U49" s="173"/>
      <c r="V49" s="173"/>
      <c r="W49" s="173"/>
      <c r="X49" s="173"/>
    </row>
    <row r="50" ht="15.75" customHeight="1">
      <c r="B50" s="94" t="s">
        <v>340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73"/>
      <c r="J50" s="98">
        <v>15250.0</v>
      </c>
      <c r="K50" s="93"/>
      <c r="L50" s="173"/>
      <c r="M50" s="173"/>
      <c r="N50" s="173"/>
      <c r="O50" s="93"/>
      <c r="P50" s="173"/>
      <c r="Q50" s="173"/>
      <c r="R50" s="173"/>
      <c r="S50" s="173"/>
      <c r="T50" s="173"/>
      <c r="U50" s="173"/>
      <c r="V50" s="173"/>
      <c r="W50" s="173"/>
      <c r="X50" s="173"/>
    </row>
    <row r="51" ht="15.75" customHeight="1">
      <c r="B51" s="62" t="s">
        <v>341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8"/>
      <c r="H51" s="72">
        <v>26494.0</v>
      </c>
      <c r="I51" s="173"/>
      <c r="J51" s="72">
        <v>15250.0</v>
      </c>
      <c r="K51" s="93"/>
      <c r="L51" s="173"/>
      <c r="M51" s="173"/>
      <c r="N51" s="173"/>
      <c r="O51" s="93"/>
      <c r="P51" s="173"/>
      <c r="Q51" s="173"/>
      <c r="R51" s="173"/>
      <c r="S51" s="173"/>
      <c r="T51" s="173"/>
      <c r="U51" s="173"/>
      <c r="V51" s="173"/>
      <c r="W51" s="173"/>
      <c r="X51" s="173"/>
    </row>
    <row r="52" ht="15.75" customHeight="1">
      <c r="B52" s="94" t="s">
        <v>342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73"/>
      <c r="J52" s="98">
        <v>15250.0</v>
      </c>
      <c r="K52" s="93"/>
      <c r="L52" s="173"/>
      <c r="M52" s="173"/>
      <c r="N52" s="173"/>
      <c r="O52" s="93"/>
      <c r="P52" s="173"/>
      <c r="Q52" s="173"/>
      <c r="R52" s="173"/>
      <c r="S52" s="173"/>
      <c r="T52" s="173"/>
      <c r="U52" s="173"/>
      <c r="V52" s="173"/>
      <c r="W52" s="173"/>
      <c r="X52" s="173"/>
    </row>
    <row r="53" ht="15.75" customHeight="1">
      <c r="B53" s="62" t="s">
        <v>343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8"/>
      <c r="H53" s="72">
        <v>26494.0</v>
      </c>
      <c r="I53" s="173"/>
      <c r="J53" s="72">
        <v>15250.0</v>
      </c>
      <c r="K53" s="93"/>
      <c r="L53" s="173"/>
      <c r="M53" s="173"/>
      <c r="N53" s="173"/>
      <c r="O53" s="93"/>
      <c r="P53" s="173"/>
      <c r="Q53" s="173"/>
      <c r="R53" s="173"/>
      <c r="S53" s="173"/>
      <c r="T53" s="173"/>
      <c r="U53" s="173"/>
      <c r="V53" s="173"/>
      <c r="W53" s="173"/>
      <c r="X53" s="173"/>
    </row>
    <row r="54" ht="15.75" customHeight="1">
      <c r="B54" s="94" t="s">
        <v>344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73"/>
      <c r="J54" s="98">
        <v>15250.0</v>
      </c>
      <c r="K54" s="93"/>
      <c r="L54" s="173"/>
      <c r="M54" s="173"/>
      <c r="N54" s="173"/>
      <c r="O54" s="93"/>
      <c r="P54" s="173"/>
      <c r="Q54" s="173"/>
      <c r="R54" s="173"/>
      <c r="S54" s="173"/>
      <c r="T54" s="173"/>
      <c r="U54" s="173"/>
      <c r="V54" s="173"/>
      <c r="W54" s="173"/>
      <c r="X54" s="173"/>
    </row>
    <row r="55" ht="15.75" customHeight="1">
      <c r="B55" s="62" t="s">
        <v>345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8"/>
      <c r="H55" s="72">
        <v>26494.0</v>
      </c>
      <c r="I55" s="173"/>
      <c r="J55" s="72">
        <v>15250.0</v>
      </c>
      <c r="K55" s="93"/>
      <c r="L55" s="173"/>
      <c r="M55" s="173"/>
      <c r="N55" s="173"/>
      <c r="O55" s="93"/>
      <c r="P55" s="173"/>
      <c r="Q55" s="173"/>
      <c r="R55" s="173"/>
      <c r="S55" s="173"/>
      <c r="T55" s="173"/>
      <c r="U55" s="173"/>
      <c r="V55" s="173"/>
      <c r="W55" s="173"/>
      <c r="X55" s="173"/>
    </row>
    <row r="56" ht="15.75" customHeight="1">
      <c r="B56" s="94" t="s">
        <v>346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73"/>
      <c r="J56" s="98">
        <v>15250.0</v>
      </c>
      <c r="K56" s="93"/>
      <c r="L56" s="173"/>
      <c r="M56" s="173"/>
      <c r="N56" s="173"/>
      <c r="O56" s="93"/>
      <c r="P56" s="173"/>
      <c r="Q56" s="173"/>
      <c r="R56" s="173"/>
      <c r="S56" s="173"/>
      <c r="T56" s="173"/>
      <c r="U56" s="173"/>
      <c r="V56" s="173"/>
      <c r="W56" s="173"/>
      <c r="X56" s="173"/>
    </row>
    <row r="57" ht="15.75" customHeight="1">
      <c r="B57" s="62" t="s">
        <v>347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8"/>
      <c r="H57" s="72">
        <v>26494.0</v>
      </c>
      <c r="I57" s="173"/>
      <c r="J57" s="72">
        <v>15250.0</v>
      </c>
      <c r="K57" s="93"/>
      <c r="L57" s="173"/>
      <c r="M57" s="173"/>
      <c r="N57" s="173"/>
      <c r="O57" s="93"/>
      <c r="P57" s="173"/>
      <c r="Q57" s="173"/>
      <c r="R57" s="173"/>
      <c r="S57" s="173"/>
      <c r="T57" s="173"/>
      <c r="U57" s="173"/>
      <c r="V57" s="173"/>
      <c r="W57" s="173"/>
      <c r="X57" s="173"/>
    </row>
    <row r="58" ht="15.75" customHeight="1">
      <c r="B58" s="94" t="s">
        <v>348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73"/>
      <c r="J58" s="98">
        <v>15250.0</v>
      </c>
      <c r="K58" s="93"/>
      <c r="L58" s="173"/>
      <c r="M58" s="173"/>
      <c r="N58" s="173"/>
      <c r="O58" s="93"/>
      <c r="P58" s="173"/>
      <c r="Q58" s="173"/>
      <c r="R58" s="173"/>
      <c r="S58" s="173"/>
      <c r="T58" s="173"/>
      <c r="U58" s="173"/>
      <c r="V58" s="173"/>
      <c r="W58" s="173"/>
      <c r="X58" s="173"/>
    </row>
    <row r="59" ht="15.75" customHeight="1">
      <c r="B59" s="80" t="s">
        <v>45</v>
      </c>
      <c r="C59" s="64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2">
        <f t="shared" si="2"/>
        <v>68256</v>
      </c>
      <c r="G59" s="87" t="s">
        <v>349</v>
      </c>
      <c r="H59" s="89">
        <v>26494.0</v>
      </c>
      <c r="I59" s="173"/>
      <c r="J59" s="157">
        <v>15250.0</v>
      </c>
      <c r="K59" s="93"/>
      <c r="L59" s="173"/>
      <c r="M59" s="173"/>
      <c r="N59" s="173"/>
      <c r="O59" s="93"/>
      <c r="P59" s="173"/>
      <c r="Q59" s="173"/>
      <c r="R59" s="173"/>
      <c r="S59" s="173"/>
      <c r="T59" s="173"/>
      <c r="U59" s="173"/>
      <c r="V59" s="173"/>
      <c r="W59" s="173"/>
      <c r="X59" s="17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11</v>
      </c>
      <c r="B3" s="14" t="s">
        <v>10</v>
      </c>
      <c r="C3" s="14" t="s">
        <v>15</v>
      </c>
      <c r="D3" s="14" t="s">
        <v>17</v>
      </c>
    </row>
    <row r="4">
      <c r="A4" s="16">
        <v>46174.0</v>
      </c>
      <c r="B4" s="18" t="s">
        <v>21</v>
      </c>
      <c r="C4" s="19">
        <v>1000.0</v>
      </c>
      <c r="D4" s="21">
        <v>46174.0</v>
      </c>
    </row>
    <row r="5">
      <c r="A5" s="16">
        <v>46175.0</v>
      </c>
      <c r="B5" s="18" t="s">
        <v>29</v>
      </c>
      <c r="C5" s="19">
        <v>12000.0</v>
      </c>
      <c r="D5" s="21">
        <v>46174.0</v>
      </c>
    </row>
    <row r="6">
      <c r="A6" s="16">
        <v>46176.0</v>
      </c>
      <c r="B6" s="18" t="s">
        <v>31</v>
      </c>
      <c r="C6" s="19">
        <v>2000.0</v>
      </c>
      <c r="D6" s="21">
        <v>46176.0</v>
      </c>
    </row>
    <row r="7">
      <c r="A7" s="16">
        <v>46177.0</v>
      </c>
      <c r="B7" s="18" t="s">
        <v>32</v>
      </c>
      <c r="C7" s="19">
        <v>3000.0</v>
      </c>
      <c r="D7" s="21">
        <v>46177.0</v>
      </c>
    </row>
    <row r="8">
      <c r="A8" s="16">
        <v>46178.0</v>
      </c>
      <c r="B8" s="30" t="s">
        <v>32</v>
      </c>
      <c r="C8" s="32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41</v>
      </c>
      <c r="C9" s="19">
        <v>585.0</v>
      </c>
      <c r="D9" s="21">
        <v>46179.0</v>
      </c>
    </row>
    <row r="10">
      <c r="A10" s="16">
        <v>46180.0</v>
      </c>
      <c r="B10" s="18" t="s">
        <v>42</v>
      </c>
      <c r="C10" s="19">
        <v>4208.0</v>
      </c>
      <c r="D10" s="18" t="s">
        <v>44</v>
      </c>
    </row>
    <row r="11">
      <c r="A11" s="16">
        <v>46181.0</v>
      </c>
      <c r="B11" s="18" t="s">
        <v>31</v>
      </c>
      <c r="C11" s="19">
        <v>2000.0</v>
      </c>
      <c r="D11" s="43"/>
    </row>
    <row r="12">
      <c r="A12" s="16">
        <v>46182.0</v>
      </c>
      <c r="B12" s="18" t="s">
        <v>46</v>
      </c>
      <c r="C12" s="19">
        <v>2000.0</v>
      </c>
      <c r="D12" s="18" t="s">
        <v>48</v>
      </c>
    </row>
    <row r="13">
      <c r="A13" s="16">
        <v>46174.0</v>
      </c>
      <c r="B13" s="18" t="s">
        <v>50</v>
      </c>
      <c r="C13" s="19">
        <v>9975.0</v>
      </c>
      <c r="D13" s="18" t="s">
        <v>51</v>
      </c>
    </row>
    <row r="14">
      <c r="A14" s="16">
        <v>46174.0</v>
      </c>
      <c r="B14" s="18" t="s">
        <v>52</v>
      </c>
      <c r="C14" s="19">
        <v>185.0</v>
      </c>
      <c r="D14" s="18" t="s">
        <v>51</v>
      </c>
    </row>
    <row r="15">
      <c r="A15" s="16">
        <v>46174.0</v>
      </c>
      <c r="B15" s="18" t="s">
        <v>55</v>
      </c>
      <c r="C15" s="19">
        <v>650.0</v>
      </c>
      <c r="D15" s="18" t="s">
        <v>51</v>
      </c>
    </row>
    <row r="16">
      <c r="A16" s="16">
        <v>46174.0</v>
      </c>
      <c r="B16" s="18" t="s">
        <v>58</v>
      </c>
      <c r="C16" s="19">
        <v>5077.0</v>
      </c>
      <c r="D16" s="18" t="s">
        <v>60</v>
      </c>
    </row>
    <row r="17">
      <c r="A17" s="16">
        <v>46174.0</v>
      </c>
      <c r="B17" s="18" t="s">
        <v>62</v>
      </c>
      <c r="C17" s="19">
        <v>716.0</v>
      </c>
      <c r="D17" s="18" t="s">
        <v>65</v>
      </c>
    </row>
    <row r="18">
      <c r="A18" s="16">
        <v>46175.0</v>
      </c>
      <c r="B18" s="18" t="s">
        <v>66</v>
      </c>
      <c r="C18" s="19">
        <v>5000.0</v>
      </c>
      <c r="D18" s="18" t="s">
        <v>65</v>
      </c>
    </row>
    <row r="19">
      <c r="A19" s="16">
        <v>46176.0</v>
      </c>
      <c r="B19" s="18" t="s">
        <v>68</v>
      </c>
      <c r="C19" s="19">
        <v>2000.0</v>
      </c>
      <c r="D19" s="18" t="s">
        <v>65</v>
      </c>
    </row>
    <row r="20">
      <c r="A20" s="16">
        <v>46177.0</v>
      </c>
      <c r="B20" s="18" t="s">
        <v>82</v>
      </c>
      <c r="C20" s="19">
        <v>240.0</v>
      </c>
      <c r="D20" s="18" t="s">
        <v>65</v>
      </c>
    </row>
    <row r="21">
      <c r="A21" s="16">
        <v>46178.0</v>
      </c>
      <c r="B21" s="18" t="s">
        <v>92</v>
      </c>
      <c r="C21" s="19">
        <v>512.0</v>
      </c>
      <c r="D21" s="18" t="s">
        <v>94</v>
      </c>
    </row>
    <row r="22">
      <c r="A22" s="16">
        <v>46179.0</v>
      </c>
      <c r="B22" s="18" t="s">
        <v>96</v>
      </c>
      <c r="C22" s="19">
        <v>3000.0</v>
      </c>
      <c r="D22" s="18" t="s">
        <v>94</v>
      </c>
    </row>
    <row r="23">
      <c r="A23" s="16">
        <v>46180.0</v>
      </c>
      <c r="B23" s="18" t="s">
        <v>98</v>
      </c>
      <c r="C23" s="19">
        <v>15230.0</v>
      </c>
      <c r="D23" s="18" t="s">
        <v>94</v>
      </c>
    </row>
    <row r="24">
      <c r="A24" s="16">
        <v>46181.0</v>
      </c>
      <c r="B24" s="18" t="s">
        <v>100</v>
      </c>
      <c r="C24" s="19">
        <v>1950.0</v>
      </c>
      <c r="D24" s="18" t="s">
        <v>94</v>
      </c>
    </row>
    <row r="25">
      <c r="A25" s="16">
        <v>46182.0</v>
      </c>
      <c r="B25" s="18" t="s">
        <v>101</v>
      </c>
      <c r="C25" s="19">
        <v>500.0</v>
      </c>
      <c r="D25" s="18" t="s">
        <v>103</v>
      </c>
    </row>
    <row r="26">
      <c r="A26" s="16">
        <v>46183.0</v>
      </c>
      <c r="B26" s="18" t="s">
        <v>105</v>
      </c>
      <c r="C26" s="19">
        <v>850.0</v>
      </c>
      <c r="D26" s="18" t="s">
        <v>103</v>
      </c>
    </row>
    <row r="27">
      <c r="A27" s="16">
        <v>46184.0</v>
      </c>
      <c r="B27" s="18" t="s">
        <v>106</v>
      </c>
      <c r="C27" s="19">
        <v>3000.0</v>
      </c>
      <c r="D27" s="18" t="s">
        <v>108</v>
      </c>
    </row>
    <row r="28">
      <c r="A28" s="16">
        <v>46185.0</v>
      </c>
      <c r="B28" s="18" t="s">
        <v>110</v>
      </c>
      <c r="C28" s="19">
        <v>4000.0</v>
      </c>
      <c r="D28" s="18" t="s">
        <v>108</v>
      </c>
    </row>
    <row r="29">
      <c r="A29" s="16">
        <v>46186.0</v>
      </c>
      <c r="B29" s="18" t="s">
        <v>112</v>
      </c>
      <c r="C29" s="19">
        <v>9855.0</v>
      </c>
      <c r="D29" s="18" t="s">
        <v>113</v>
      </c>
    </row>
    <row r="30">
      <c r="A30" s="16">
        <v>46187.0</v>
      </c>
      <c r="B30" s="18" t="s">
        <v>117</v>
      </c>
      <c r="C30" s="19">
        <v>590.0</v>
      </c>
      <c r="D30" s="21">
        <v>46181.0</v>
      </c>
    </row>
    <row r="31">
      <c r="A31" s="16">
        <v>46188.0</v>
      </c>
      <c r="B31" s="18" t="s">
        <v>120</v>
      </c>
      <c r="C31" s="19">
        <v>2000.0</v>
      </c>
      <c r="D31" s="21">
        <v>46184.0</v>
      </c>
    </row>
    <row r="32">
      <c r="A32" s="16">
        <v>46189.0</v>
      </c>
      <c r="B32" s="18" t="s">
        <v>122</v>
      </c>
      <c r="C32" s="19">
        <v>6000.0</v>
      </c>
      <c r="D32" s="21">
        <v>46191.0</v>
      </c>
    </row>
    <row r="33">
      <c r="A33" s="16">
        <v>46174.0</v>
      </c>
      <c r="B33" s="18" t="s">
        <v>124</v>
      </c>
      <c r="C33" s="19">
        <v>1070.0</v>
      </c>
      <c r="D33" s="21">
        <v>46193.0</v>
      </c>
    </row>
    <row r="34">
      <c r="A34" s="16">
        <v>46174.0</v>
      </c>
      <c r="B34" s="18" t="s">
        <v>125</v>
      </c>
      <c r="C34" s="19">
        <v>5000.0</v>
      </c>
      <c r="D34" s="21">
        <v>46193.0</v>
      </c>
    </row>
    <row r="35">
      <c r="A35" s="16">
        <v>46174.0</v>
      </c>
      <c r="B35" s="18" t="s">
        <v>127</v>
      </c>
      <c r="C35" s="19">
        <v>850.0</v>
      </c>
      <c r="D35" s="21">
        <v>46194.0</v>
      </c>
    </row>
    <row r="36">
      <c r="A36" s="16">
        <v>46174.0</v>
      </c>
      <c r="B36" s="18" t="s">
        <v>129</v>
      </c>
      <c r="C36" s="19">
        <v>220.0</v>
      </c>
      <c r="D36" s="21">
        <v>46194.0</v>
      </c>
    </row>
    <row r="37">
      <c r="A37" s="16">
        <v>46174.0</v>
      </c>
      <c r="B37" s="18" t="s">
        <v>132</v>
      </c>
      <c r="C37" s="19">
        <v>27500.0</v>
      </c>
      <c r="D37" s="18" t="s">
        <v>134</v>
      </c>
    </row>
    <row r="38">
      <c r="A38" s="43"/>
      <c r="B38" s="43"/>
      <c r="C38" s="88"/>
      <c r="D38" s="43"/>
    </row>
    <row r="39">
      <c r="A39" s="43"/>
      <c r="B39" s="43"/>
      <c r="C39" s="88"/>
      <c r="D39" s="43"/>
    </row>
    <row r="40">
      <c r="A40" s="43"/>
      <c r="B40" s="43"/>
      <c r="C40" s="88"/>
      <c r="D40" s="43"/>
    </row>
    <row r="41">
      <c r="A41" s="43"/>
      <c r="B41" s="43"/>
      <c r="C41" s="88"/>
      <c r="D41" s="43"/>
    </row>
    <row r="42">
      <c r="A42" s="43"/>
      <c r="B42" s="43"/>
      <c r="C42" s="88"/>
      <c r="D42" s="43"/>
    </row>
    <row r="43">
      <c r="A43" s="43"/>
      <c r="B43" s="43"/>
      <c r="C43" s="88"/>
      <c r="D43" s="43"/>
    </row>
    <row r="44">
      <c r="A44" s="43"/>
      <c r="B44" s="43"/>
      <c r="C44" s="88"/>
      <c r="D44" s="43"/>
    </row>
    <row r="45">
      <c r="A45" s="43"/>
      <c r="B45" s="43"/>
      <c r="C45" s="88"/>
      <c r="D45" s="43"/>
    </row>
    <row r="46">
      <c r="A46" s="43"/>
      <c r="B46" s="43"/>
      <c r="C46" s="88"/>
      <c r="D46" s="43"/>
    </row>
    <row r="47">
      <c r="A47" s="43"/>
      <c r="B47" s="43"/>
      <c r="C47" s="88"/>
      <c r="D47" s="43"/>
    </row>
    <row r="48">
      <c r="A48" s="43"/>
      <c r="B48" s="43"/>
      <c r="C48" s="88"/>
      <c r="D48" s="43"/>
    </row>
    <row r="49">
      <c r="A49" s="43"/>
      <c r="B49" s="43"/>
      <c r="C49" s="88"/>
      <c r="D49" s="43"/>
    </row>
    <row r="50">
      <c r="A50" s="43"/>
      <c r="B50" s="43"/>
      <c r="C50" s="88"/>
      <c r="D50" s="43"/>
    </row>
    <row r="51">
      <c r="A51" s="43"/>
      <c r="B51" s="43"/>
      <c r="C51" s="88"/>
      <c r="D51" s="43"/>
    </row>
    <row r="52">
      <c r="A52" s="43"/>
      <c r="B52" s="43"/>
      <c r="C52" s="88"/>
      <c r="D52" s="43"/>
    </row>
    <row r="53">
      <c r="A53" s="43"/>
      <c r="B53" s="43"/>
      <c r="C53" s="88"/>
      <c r="D53" s="43"/>
    </row>
    <row r="54">
      <c r="A54" s="43"/>
      <c r="B54" s="43"/>
      <c r="C54" s="88"/>
      <c r="D54" s="43"/>
    </row>
    <row r="55">
      <c r="A55" s="43"/>
      <c r="B55" s="43"/>
      <c r="C55" s="88"/>
      <c r="D55" s="43"/>
    </row>
    <row r="56">
      <c r="A56" s="43"/>
      <c r="B56" s="43"/>
      <c r="C56" s="88"/>
      <c r="D56" s="43"/>
    </row>
    <row r="57">
      <c r="A57" s="43"/>
      <c r="B57" s="43"/>
      <c r="C57" s="88"/>
      <c r="D57" s="43"/>
    </row>
    <row r="58">
      <c r="A58" s="43"/>
      <c r="B58" s="43"/>
      <c r="C58" s="88"/>
      <c r="D58" s="43"/>
    </row>
    <row r="59">
      <c r="A59" s="43"/>
      <c r="B59" s="43"/>
      <c r="C59" s="88"/>
      <c r="D59" s="43"/>
    </row>
    <row r="60">
      <c r="A60" s="43"/>
      <c r="B60" s="43"/>
      <c r="C60" s="88"/>
      <c r="D60" s="43"/>
    </row>
    <row r="61">
      <c r="A61" s="43"/>
      <c r="B61" s="43"/>
      <c r="C61" s="88"/>
      <c r="D61" s="43"/>
    </row>
    <row r="62">
      <c r="A62" s="43"/>
      <c r="B62" s="43"/>
      <c r="C62" s="88"/>
      <c r="D62" s="43"/>
    </row>
    <row r="63">
      <c r="A63" s="43"/>
      <c r="B63" s="43"/>
      <c r="C63" s="88"/>
      <c r="D63" s="43"/>
    </row>
    <row r="64">
      <c r="A64" s="43"/>
      <c r="B64" s="43"/>
      <c r="C64" s="88"/>
      <c r="D64" s="43"/>
    </row>
    <row r="65">
      <c r="A65" s="43"/>
      <c r="B65" s="43"/>
      <c r="C65" s="88"/>
      <c r="D65" s="43"/>
    </row>
    <row r="66">
      <c r="A66" s="43"/>
      <c r="B66" s="43"/>
      <c r="C66" s="88"/>
      <c r="D66" s="43"/>
    </row>
    <row r="67">
      <c r="A67" s="43"/>
      <c r="B67" s="43"/>
      <c r="C67" s="88"/>
      <c r="D67" s="43"/>
    </row>
    <row r="68">
      <c r="A68" s="43"/>
      <c r="B68" s="43"/>
      <c r="C68" s="88"/>
      <c r="D68" s="43"/>
    </row>
    <row r="69">
      <c r="A69" s="43"/>
      <c r="B69" s="43"/>
      <c r="C69" s="88"/>
      <c r="D69" s="43"/>
    </row>
    <row r="70">
      <c r="A70" s="43"/>
      <c r="B70" s="43"/>
      <c r="C70" s="88"/>
      <c r="D70" s="43"/>
    </row>
    <row r="71">
      <c r="A71" s="43"/>
      <c r="B71" s="43"/>
      <c r="C71" s="88"/>
      <c r="D71" s="43"/>
    </row>
    <row r="72">
      <c r="A72" s="43"/>
      <c r="B72" s="43"/>
      <c r="C72" s="88"/>
      <c r="D72" s="43"/>
    </row>
    <row r="73">
      <c r="A73" s="43"/>
      <c r="B73" s="43"/>
      <c r="C73" s="88"/>
      <c r="D73" s="43"/>
    </row>
    <row r="74">
      <c r="A74" s="43"/>
      <c r="B74" s="43"/>
      <c r="C74" s="88"/>
      <c r="D74" s="43"/>
    </row>
    <row r="75">
      <c r="A75" s="43"/>
      <c r="B75" s="43"/>
      <c r="C75" s="88"/>
      <c r="D75" s="43"/>
    </row>
    <row r="76">
      <c r="A76" s="43"/>
      <c r="B76" s="43"/>
      <c r="C76" s="88"/>
      <c r="D76" s="43"/>
    </row>
    <row r="77">
      <c r="A77" s="43"/>
      <c r="B77" s="43"/>
      <c r="C77" s="88"/>
      <c r="D77" s="43"/>
    </row>
    <row r="78">
      <c r="A78" s="43"/>
      <c r="B78" s="43"/>
      <c r="C78" s="88"/>
      <c r="D78" s="43"/>
    </row>
    <row r="79">
      <c r="A79" s="43"/>
      <c r="B79" s="43"/>
      <c r="C79" s="88"/>
      <c r="D79" s="43"/>
    </row>
    <row r="80">
      <c r="A80" s="43"/>
      <c r="B80" s="43"/>
      <c r="C80" s="88"/>
      <c r="D80" s="43"/>
    </row>
    <row r="81">
      <c r="A81" s="43"/>
      <c r="B81" s="43"/>
      <c r="C81" s="88"/>
      <c r="D81" s="43"/>
    </row>
    <row r="82">
      <c r="A82" s="43"/>
      <c r="B82" s="43"/>
      <c r="C82" s="88"/>
      <c r="D82" s="43"/>
    </row>
    <row r="83">
      <c r="A83" s="43"/>
      <c r="B83" s="43"/>
      <c r="C83" s="88"/>
      <c r="D83" s="43"/>
    </row>
    <row r="84">
      <c r="A84" s="43"/>
      <c r="B84" s="43"/>
      <c r="C84" s="88"/>
      <c r="D84" s="43"/>
    </row>
    <row r="85">
      <c r="A85" s="43"/>
      <c r="B85" s="43"/>
      <c r="C85" s="88"/>
      <c r="D85" s="43"/>
    </row>
    <row r="86">
      <c r="A86" s="43"/>
      <c r="B86" s="43"/>
      <c r="C86" s="88"/>
      <c r="D86" s="43"/>
    </row>
    <row r="87">
      <c r="A87" s="43"/>
      <c r="B87" s="43"/>
      <c r="C87" s="88"/>
      <c r="D87" s="43"/>
    </row>
    <row r="88">
      <c r="A88" s="43"/>
      <c r="B88" s="43"/>
      <c r="C88" s="88"/>
      <c r="D88" s="43"/>
    </row>
    <row r="89">
      <c r="A89" s="43"/>
      <c r="B89" s="43"/>
      <c r="C89" s="88"/>
      <c r="D89" s="43"/>
    </row>
    <row r="90">
      <c r="A90" s="43"/>
      <c r="B90" s="43"/>
      <c r="C90" s="88"/>
      <c r="D90" s="43"/>
    </row>
    <row r="91">
      <c r="A91" s="43"/>
      <c r="B91" s="43"/>
      <c r="C91" s="88"/>
      <c r="D91" s="43"/>
    </row>
    <row r="92">
      <c r="A92" s="43"/>
      <c r="B92" s="43"/>
      <c r="C92" s="88"/>
      <c r="D92" s="43"/>
    </row>
    <row r="93">
      <c r="A93" s="43"/>
      <c r="B93" s="43"/>
      <c r="C93" s="88"/>
      <c r="D93" s="43"/>
    </row>
    <row r="94">
      <c r="A94" s="43"/>
      <c r="B94" s="43"/>
      <c r="C94" s="88"/>
      <c r="D94" s="43"/>
    </row>
    <row r="95">
      <c r="A95" s="43"/>
      <c r="B95" s="43"/>
      <c r="C95" s="88"/>
      <c r="D95" s="43"/>
    </row>
    <row r="96">
      <c r="A96" s="43"/>
      <c r="B96" s="43"/>
      <c r="C96" s="88"/>
      <c r="D96" s="43"/>
    </row>
    <row r="97">
      <c r="A97" s="43"/>
      <c r="B97" s="43"/>
      <c r="C97" s="88"/>
      <c r="D97" s="43"/>
    </row>
    <row r="98">
      <c r="A98" s="43"/>
      <c r="B98" s="43"/>
      <c r="C98" s="88"/>
      <c r="D98" s="43"/>
    </row>
    <row r="99">
      <c r="A99" s="43"/>
      <c r="B99" s="43"/>
      <c r="C99" s="88"/>
      <c r="D99" s="43"/>
    </row>
    <row r="100">
      <c r="A100" s="43"/>
      <c r="B100" s="43"/>
      <c r="C100" s="8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9</v>
      </c>
    </row>
    <row r="4">
      <c r="B4" s="15" t="s">
        <v>14</v>
      </c>
      <c r="C4" s="15" t="s">
        <v>18</v>
      </c>
      <c r="D4" s="15" t="s">
        <v>20</v>
      </c>
      <c r="E4" s="15" t="s">
        <v>22</v>
      </c>
      <c r="F4" s="15" t="s">
        <v>23</v>
      </c>
      <c r="G4" s="15" t="s">
        <v>26</v>
      </c>
      <c r="H4" s="22" t="s">
        <v>27</v>
      </c>
    </row>
    <row r="5">
      <c r="B5" s="25">
        <v>55.8</v>
      </c>
      <c r="C5" s="28">
        <v>0.11</v>
      </c>
      <c r="D5" s="25" t="s">
        <v>33</v>
      </c>
      <c r="E5" s="25" t="s">
        <v>34</v>
      </c>
      <c r="F5" s="33">
        <v>391560.0</v>
      </c>
      <c r="G5" s="37">
        <v>46010.0</v>
      </c>
      <c r="H5" s="10">
        <f t="shared" ref="H5:H9" si="1">IF(OR(ISBLANK(F5), ISBLANK(G5), ISBLANK(C5)), 0, F5 * C5 * (TODAY() - G5) / 365)</f>
        <v>25842.96</v>
      </c>
    </row>
    <row r="6">
      <c r="B6" s="25">
        <v>30.0</v>
      </c>
      <c r="C6" s="28">
        <v>0.1</v>
      </c>
      <c r="D6" s="25" t="s">
        <v>33</v>
      </c>
      <c r="E6" s="25" t="s">
        <v>57</v>
      </c>
      <c r="F6" s="33">
        <v>229500.0</v>
      </c>
      <c r="G6" s="37">
        <v>45966.0</v>
      </c>
      <c r="H6" s="10">
        <f t="shared" si="1"/>
        <v>16536.57534</v>
      </c>
    </row>
    <row r="7">
      <c r="B7" s="25">
        <v>36.9</v>
      </c>
      <c r="C7" s="28">
        <v>0.105</v>
      </c>
      <c r="D7" s="25" t="s">
        <v>33</v>
      </c>
      <c r="E7" s="25" t="s">
        <v>70</v>
      </c>
      <c r="F7" s="33">
        <v>300000.0</v>
      </c>
      <c r="G7" s="37">
        <v>46169.0</v>
      </c>
      <c r="H7" s="10">
        <f t="shared" si="1"/>
        <v>5178.082192</v>
      </c>
    </row>
    <row r="8">
      <c r="B8" s="25">
        <v>15.0</v>
      </c>
      <c r="C8" s="53"/>
      <c r="D8" s="25" t="s">
        <v>33</v>
      </c>
      <c r="E8" s="25" t="s">
        <v>70</v>
      </c>
      <c r="F8" s="33">
        <v>135000.0</v>
      </c>
      <c r="G8" s="37">
        <v>46178.0</v>
      </c>
      <c r="H8" s="10">
        <f t="shared" si="1"/>
        <v>0</v>
      </c>
    </row>
    <row r="9">
      <c r="B9" s="55"/>
      <c r="C9" s="53"/>
      <c r="D9" s="25" t="s">
        <v>33</v>
      </c>
      <c r="E9" s="25" t="s">
        <v>83</v>
      </c>
      <c r="F9" s="33">
        <v>297698.0</v>
      </c>
      <c r="G9" s="37">
        <v>46035.0</v>
      </c>
      <c r="H9" s="10">
        <f t="shared" si="1"/>
        <v>0</v>
      </c>
    </row>
    <row r="10">
      <c r="B10" s="55"/>
      <c r="C10" s="53"/>
      <c r="D10" s="55"/>
      <c r="E10" s="55"/>
      <c r="F10" s="61"/>
      <c r="G10" s="63"/>
      <c r="H10" s="10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61"/>
      <c r="G11" s="63"/>
      <c r="H11" s="10" t="str">
        <f t="shared" si="2"/>
        <v/>
      </c>
    </row>
    <row r="12">
      <c r="B12" s="55"/>
      <c r="C12" s="53"/>
      <c r="D12" s="55"/>
      <c r="E12" s="55"/>
      <c r="F12" s="61"/>
      <c r="G12" s="63"/>
      <c r="H12" s="10" t="str">
        <f t="shared" si="2"/>
        <v/>
      </c>
    </row>
    <row r="13">
      <c r="B13" s="55"/>
      <c r="C13" s="53"/>
      <c r="D13" s="55"/>
      <c r="E13" s="55"/>
      <c r="F13" s="61"/>
      <c r="G13" s="63"/>
      <c r="H13" s="10" t="str">
        <f t="shared" si="2"/>
        <v/>
      </c>
    </row>
    <row r="14">
      <c r="B14" s="55"/>
      <c r="C14" s="53"/>
      <c r="D14" s="55"/>
      <c r="E14" s="55"/>
      <c r="F14" s="61"/>
      <c r="G14" s="63"/>
      <c r="H14" s="10" t="str">
        <f t="shared" si="2"/>
        <v/>
      </c>
    </row>
    <row r="15">
      <c r="B15" s="55"/>
      <c r="C15" s="53"/>
      <c r="D15" s="55"/>
      <c r="E15" s="55"/>
      <c r="F15" s="61"/>
      <c r="G15" s="63"/>
      <c r="H15" s="10" t="str">
        <f t="shared" si="2"/>
        <v/>
      </c>
    </row>
    <row r="16">
      <c r="B16" s="55"/>
      <c r="C16" s="53"/>
      <c r="D16" s="55"/>
      <c r="E16" s="55"/>
      <c r="F16" s="61"/>
      <c r="G16" s="63"/>
      <c r="H16" s="10" t="str">
        <f t="shared" si="2"/>
        <v/>
      </c>
    </row>
    <row r="17">
      <c r="B17" s="55"/>
      <c r="C17" s="53"/>
      <c r="D17" s="55"/>
      <c r="E17" s="55"/>
      <c r="F17" s="61"/>
      <c r="G17" s="63"/>
      <c r="H17" s="10" t="str">
        <f t="shared" si="2"/>
        <v/>
      </c>
    </row>
    <row r="18">
      <c r="B18" s="55"/>
      <c r="C18" s="53"/>
      <c r="D18" s="55"/>
      <c r="E18" s="55"/>
      <c r="F18" s="61"/>
      <c r="G18" s="63"/>
      <c r="H18" s="10" t="str">
        <f t="shared" si="2"/>
        <v/>
      </c>
    </row>
    <row r="19">
      <c r="B19" s="55"/>
      <c r="C19" s="53"/>
      <c r="D19" s="55"/>
      <c r="E19" s="55"/>
      <c r="F19" s="61"/>
      <c r="G19" s="63"/>
      <c r="H19" s="10" t="str">
        <f t="shared" si="2"/>
        <v/>
      </c>
    </row>
    <row r="20">
      <c r="B20" s="55"/>
      <c r="C20" s="53"/>
      <c r="D20" s="55"/>
      <c r="E20" s="55"/>
      <c r="F20" s="61"/>
      <c r="G20" s="63"/>
      <c r="H20" s="10" t="str">
        <f t="shared" si="2"/>
        <v/>
      </c>
    </row>
    <row r="21">
      <c r="B21" s="55"/>
      <c r="C21" s="53"/>
      <c r="D21" s="55"/>
      <c r="E21" s="55"/>
      <c r="F21" s="61"/>
      <c r="G21" s="63"/>
      <c r="H21" s="10" t="str">
        <f t="shared" si="2"/>
        <v/>
      </c>
    </row>
    <row r="22">
      <c r="B22" s="55"/>
      <c r="C22" s="53"/>
      <c r="D22" s="55"/>
      <c r="E22" s="55"/>
      <c r="F22" s="61"/>
      <c r="G22" s="63"/>
      <c r="H22" s="10" t="str">
        <f t="shared" si="2"/>
        <v/>
      </c>
    </row>
    <row r="23">
      <c r="B23" s="55"/>
      <c r="C23" s="53"/>
      <c r="D23" s="55"/>
      <c r="E23" s="55"/>
      <c r="F23" s="61"/>
      <c r="G23" s="63"/>
      <c r="H23" s="10" t="str">
        <f t="shared" si="2"/>
        <v/>
      </c>
    </row>
    <row r="24">
      <c r="B24" s="55"/>
      <c r="C24" s="53"/>
      <c r="D24" s="55"/>
      <c r="E24" s="55"/>
      <c r="F24" s="61"/>
      <c r="G24" s="63"/>
      <c r="H24" s="10" t="str">
        <f t="shared" si="2"/>
        <v/>
      </c>
    </row>
    <row r="25">
      <c r="B25" s="55"/>
      <c r="C25" s="53"/>
      <c r="D25" s="55"/>
      <c r="E25" s="55"/>
      <c r="F25" s="61"/>
      <c r="G25" s="63"/>
      <c r="H25" s="10" t="str">
        <f t="shared" si="2"/>
        <v/>
      </c>
    </row>
    <row r="26">
      <c r="B26" s="55"/>
      <c r="C26" s="53"/>
      <c r="D26" s="55"/>
      <c r="E26" s="55"/>
      <c r="F26" s="61"/>
      <c r="G26" s="63"/>
      <c r="H26" s="10" t="str">
        <f t="shared" si="2"/>
        <v/>
      </c>
    </row>
    <row r="27">
      <c r="B27" s="55"/>
      <c r="C27" s="53"/>
      <c r="D27" s="55"/>
      <c r="E27" s="55"/>
      <c r="F27" s="61"/>
      <c r="G27" s="63"/>
      <c r="H27" s="10" t="str">
        <f t="shared" si="2"/>
        <v/>
      </c>
    </row>
    <row r="28">
      <c r="B28" s="55"/>
      <c r="C28" s="53"/>
      <c r="D28" s="55"/>
      <c r="E28" s="55"/>
      <c r="F28" s="61"/>
      <c r="G28" s="63"/>
      <c r="H28" s="10" t="str">
        <f t="shared" si="2"/>
        <v/>
      </c>
    </row>
    <row r="29">
      <c r="B29" s="55"/>
      <c r="C29" s="53"/>
      <c r="D29" s="55"/>
      <c r="E29" s="55"/>
      <c r="F29" s="61"/>
      <c r="G29" s="63"/>
      <c r="H29" s="10" t="str">
        <f t="shared" si="2"/>
        <v/>
      </c>
    </row>
    <row r="30">
      <c r="B30" s="55"/>
      <c r="C30" s="53"/>
      <c r="D30" s="55"/>
      <c r="E30" s="55"/>
      <c r="F30" s="61"/>
      <c r="G30" s="63"/>
      <c r="H30" s="10" t="str">
        <f t="shared" si="2"/>
        <v/>
      </c>
    </row>
    <row r="31">
      <c r="B31" s="55"/>
      <c r="C31" s="53"/>
      <c r="D31" s="55"/>
      <c r="E31" s="55"/>
      <c r="F31" s="61"/>
      <c r="G31" s="63"/>
      <c r="H31" s="10" t="str">
        <f t="shared" si="2"/>
        <v/>
      </c>
    </row>
    <row r="32">
      <c r="B32" s="55"/>
      <c r="C32" s="53"/>
      <c r="D32" s="55"/>
      <c r="E32" s="55"/>
      <c r="F32" s="61"/>
      <c r="G32" s="63"/>
      <c r="H32" s="10" t="str">
        <f t="shared" si="2"/>
        <v/>
      </c>
    </row>
    <row r="33">
      <c r="B33" s="55"/>
      <c r="C33" s="53"/>
      <c r="D33" s="55"/>
      <c r="E33" s="55"/>
      <c r="F33" s="61"/>
      <c r="G33" s="63"/>
      <c r="H33" s="10" t="str">
        <f t="shared" si="2"/>
        <v/>
      </c>
    </row>
    <row r="34">
      <c r="B34" s="55"/>
      <c r="C34" s="53"/>
      <c r="D34" s="55"/>
      <c r="E34" s="55"/>
      <c r="F34" s="61"/>
      <c r="G34" s="63"/>
      <c r="H34" s="10" t="str">
        <f t="shared" si="2"/>
        <v/>
      </c>
    </row>
    <row r="35">
      <c r="B35" s="55"/>
      <c r="C35" s="53"/>
      <c r="D35" s="55"/>
      <c r="E35" s="55"/>
      <c r="F35" s="61"/>
      <c r="G35" s="63"/>
      <c r="H35" s="10" t="str">
        <f t="shared" si="2"/>
        <v/>
      </c>
    </row>
    <row r="36">
      <c r="B36" s="55"/>
      <c r="C36" s="53"/>
      <c r="D36" s="55"/>
      <c r="E36" s="55"/>
      <c r="F36" s="61"/>
      <c r="G36" s="63"/>
      <c r="H36" s="10" t="str">
        <f t="shared" si="2"/>
        <v/>
      </c>
    </row>
    <row r="37">
      <c r="B37" s="55"/>
      <c r="C37" s="53"/>
      <c r="D37" s="55"/>
      <c r="E37" s="55"/>
      <c r="F37" s="61"/>
      <c r="G37" s="63"/>
      <c r="H37" s="10" t="str">
        <f t="shared" si="2"/>
        <v/>
      </c>
    </row>
    <row r="38">
      <c r="B38" s="55"/>
      <c r="C38" s="53"/>
      <c r="D38" s="55"/>
      <c r="E38" s="55"/>
      <c r="F38" s="61"/>
      <c r="G38" s="63"/>
      <c r="H38" s="10" t="str">
        <f t="shared" si="2"/>
        <v/>
      </c>
    </row>
    <row r="39">
      <c r="B39" s="55"/>
      <c r="C39" s="53"/>
      <c r="D39" s="55"/>
      <c r="E39" s="55"/>
      <c r="F39" s="61"/>
      <c r="G39" s="63"/>
      <c r="H39" s="10" t="str">
        <f t="shared" si="2"/>
        <v/>
      </c>
    </row>
    <row r="40">
      <c r="B40" s="55"/>
      <c r="C40" s="53"/>
      <c r="D40" s="55"/>
      <c r="E40" s="55"/>
      <c r="F40" s="61"/>
      <c r="G40" s="63"/>
      <c r="H40" s="10" t="str">
        <f t="shared" si="2"/>
        <v/>
      </c>
    </row>
    <row r="41">
      <c r="B41" s="55"/>
      <c r="C41" s="53"/>
      <c r="D41" s="55"/>
      <c r="E41" s="55"/>
      <c r="F41" s="61"/>
      <c r="G41" s="63"/>
      <c r="H41" s="10" t="str">
        <f t="shared" si="2"/>
        <v/>
      </c>
    </row>
    <row r="42">
      <c r="B42" s="55"/>
      <c r="C42" s="53"/>
      <c r="D42" s="55"/>
      <c r="E42" s="55"/>
      <c r="F42" s="61"/>
      <c r="G42" s="63"/>
      <c r="H42" s="10" t="str">
        <f t="shared" si="2"/>
        <v/>
      </c>
    </row>
    <row r="43">
      <c r="B43" s="55"/>
      <c r="C43" s="53"/>
      <c r="D43" s="55"/>
      <c r="E43" s="55"/>
      <c r="F43" s="61"/>
      <c r="G43" s="63"/>
      <c r="H43" s="10" t="str">
        <f t="shared" si="2"/>
        <v/>
      </c>
    </row>
    <row r="44">
      <c r="B44" s="55"/>
      <c r="C44" s="53"/>
      <c r="D44" s="55"/>
      <c r="E44" s="55"/>
      <c r="F44" s="61"/>
      <c r="G44" s="63"/>
      <c r="H44" s="10" t="str">
        <f t="shared" si="2"/>
        <v/>
      </c>
    </row>
    <row r="45">
      <c r="B45" s="55"/>
      <c r="C45" s="53"/>
      <c r="D45" s="55"/>
      <c r="E45" s="55"/>
      <c r="F45" s="61"/>
      <c r="G45" s="63"/>
      <c r="H45" s="10" t="str">
        <f t="shared" si="2"/>
        <v/>
      </c>
    </row>
    <row r="46">
      <c r="B46" s="55"/>
      <c r="C46" s="53"/>
      <c r="D46" s="55"/>
      <c r="E46" s="55"/>
      <c r="F46" s="61"/>
      <c r="G46" s="63"/>
      <c r="H46" s="10" t="str">
        <f t="shared" si="2"/>
        <v/>
      </c>
    </row>
    <row r="47">
      <c r="B47" s="55"/>
      <c r="C47" s="53"/>
      <c r="D47" s="55"/>
      <c r="E47" s="55"/>
      <c r="F47" s="61"/>
      <c r="G47" s="63"/>
      <c r="H47" s="10" t="str">
        <f t="shared" si="2"/>
        <v/>
      </c>
    </row>
    <row r="48">
      <c r="B48" s="55"/>
      <c r="C48" s="53"/>
      <c r="D48" s="55"/>
      <c r="E48" s="55"/>
      <c r="F48" s="61"/>
      <c r="G48" s="63"/>
      <c r="H48" s="10" t="str">
        <f t="shared" si="2"/>
        <v/>
      </c>
    </row>
    <row r="49">
      <c r="B49" s="55"/>
      <c r="C49" s="53"/>
      <c r="D49" s="55"/>
      <c r="E49" s="55"/>
      <c r="F49" s="61"/>
      <c r="G49" s="63"/>
      <c r="H49" s="10" t="str">
        <f t="shared" si="2"/>
        <v/>
      </c>
    </row>
    <row r="50">
      <c r="B50" s="55"/>
      <c r="C50" s="53"/>
      <c r="D50" s="55"/>
      <c r="E50" s="55"/>
      <c r="F50" s="61"/>
      <c r="G50" s="63"/>
      <c r="H50" s="10" t="str">
        <f t="shared" si="2"/>
        <v/>
      </c>
    </row>
    <row r="51">
      <c r="B51" s="55"/>
      <c r="C51" s="53"/>
      <c r="D51" s="55"/>
      <c r="E51" s="55"/>
      <c r="F51" s="61"/>
      <c r="G51" s="63"/>
      <c r="H51" s="10" t="str">
        <f t="shared" si="2"/>
        <v/>
      </c>
    </row>
    <row r="52">
      <c r="B52" s="55"/>
      <c r="C52" s="53"/>
      <c r="D52" s="55"/>
      <c r="E52" s="55"/>
      <c r="F52" s="61"/>
      <c r="G52" s="63"/>
      <c r="H52" s="10" t="str">
        <f t="shared" si="2"/>
        <v/>
      </c>
    </row>
    <row r="53">
      <c r="B53" s="55"/>
      <c r="C53" s="53"/>
      <c r="D53" s="55"/>
      <c r="E53" s="55"/>
      <c r="F53" s="61"/>
      <c r="G53" s="63"/>
      <c r="H53" s="10" t="str">
        <f t="shared" si="2"/>
        <v/>
      </c>
    </row>
    <row r="54">
      <c r="B54" s="55"/>
      <c r="C54" s="53"/>
      <c r="D54" s="55"/>
      <c r="E54" s="55"/>
      <c r="F54" s="61"/>
      <c r="G54" s="63"/>
      <c r="H54" s="10" t="str">
        <f t="shared" si="2"/>
        <v/>
      </c>
    </row>
    <row r="55">
      <c r="B55" s="55"/>
      <c r="C55" s="53"/>
      <c r="D55" s="55"/>
      <c r="E55" s="55"/>
      <c r="F55" s="61"/>
      <c r="G55" s="63"/>
      <c r="H55" s="10" t="str">
        <f t="shared" si="2"/>
        <v/>
      </c>
    </row>
    <row r="56">
      <c r="B56" s="55"/>
      <c r="C56" s="53"/>
      <c r="D56" s="55"/>
      <c r="E56" s="55"/>
      <c r="F56" s="61"/>
      <c r="G56" s="63"/>
      <c r="H56" s="10" t="str">
        <f t="shared" si="2"/>
        <v/>
      </c>
    </row>
    <row r="57">
      <c r="B57" s="55"/>
      <c r="C57" s="53"/>
      <c r="D57" s="55"/>
      <c r="E57" s="55"/>
      <c r="F57" s="61"/>
      <c r="G57" s="63"/>
      <c r="H57" s="10" t="str">
        <f t="shared" si="2"/>
        <v/>
      </c>
    </row>
    <row r="58">
      <c r="B58" s="55"/>
      <c r="C58" s="53"/>
      <c r="D58" s="55"/>
      <c r="E58" s="55"/>
      <c r="F58" s="61"/>
      <c r="G58" s="63"/>
      <c r="H58" s="10" t="str">
        <f t="shared" si="2"/>
        <v/>
      </c>
    </row>
    <row r="59">
      <c r="B59" s="55"/>
      <c r="C59" s="53"/>
      <c r="D59" s="55"/>
      <c r="E59" s="55"/>
      <c r="F59" s="61"/>
      <c r="G59" s="63"/>
      <c r="H59" s="10" t="str">
        <f t="shared" si="2"/>
        <v/>
      </c>
    </row>
    <row r="60">
      <c r="B60" s="55"/>
      <c r="C60" s="53"/>
      <c r="D60" s="55"/>
      <c r="E60" s="55"/>
      <c r="F60" s="61"/>
      <c r="G60" s="63"/>
      <c r="H60" s="10" t="str">
        <f t="shared" si="2"/>
        <v/>
      </c>
    </row>
    <row r="61">
      <c r="B61" s="55"/>
      <c r="C61" s="53"/>
      <c r="D61" s="55"/>
      <c r="E61" s="55"/>
      <c r="F61" s="61"/>
      <c r="G61" s="63"/>
      <c r="H61" s="10" t="str">
        <f t="shared" si="2"/>
        <v/>
      </c>
    </row>
    <row r="62">
      <c r="B62" s="55"/>
      <c r="C62" s="53"/>
      <c r="D62" s="55"/>
      <c r="E62" s="55"/>
      <c r="F62" s="61"/>
      <c r="G62" s="63"/>
      <c r="H62" s="10" t="str">
        <f t="shared" si="2"/>
        <v/>
      </c>
    </row>
    <row r="63">
      <c r="B63" s="55"/>
      <c r="C63" s="53"/>
      <c r="D63" s="55"/>
      <c r="E63" s="55"/>
      <c r="F63" s="61"/>
      <c r="G63" s="63"/>
      <c r="H63" s="10" t="str">
        <f t="shared" si="2"/>
        <v/>
      </c>
    </row>
    <row r="64">
      <c r="B64" s="55"/>
      <c r="C64" s="53"/>
      <c r="D64" s="55"/>
      <c r="E64" s="55"/>
      <c r="F64" s="61"/>
      <c r="G64" s="63"/>
      <c r="H64" s="10" t="str">
        <f t="shared" si="2"/>
        <v/>
      </c>
    </row>
    <row r="65">
      <c r="B65" s="55"/>
      <c r="C65" s="53"/>
      <c r="D65" s="55"/>
      <c r="E65" s="55"/>
      <c r="F65" s="61"/>
      <c r="G65" s="63"/>
      <c r="H65" s="10" t="str">
        <f t="shared" si="2"/>
        <v/>
      </c>
    </row>
    <row r="66">
      <c r="B66" s="55"/>
      <c r="C66" s="53"/>
      <c r="D66" s="55"/>
      <c r="E66" s="55"/>
      <c r="F66" s="61"/>
      <c r="G66" s="63"/>
      <c r="H66" s="10" t="str">
        <f t="shared" si="2"/>
        <v/>
      </c>
    </row>
    <row r="67">
      <c r="B67" s="55"/>
      <c r="C67" s="53"/>
      <c r="D67" s="55"/>
      <c r="E67" s="55"/>
      <c r="F67" s="61"/>
      <c r="G67" s="63"/>
      <c r="H67" s="10" t="str">
        <f t="shared" si="2"/>
        <v/>
      </c>
    </row>
    <row r="68">
      <c r="B68" s="55"/>
      <c r="C68" s="53"/>
      <c r="D68" s="55"/>
      <c r="E68" s="55"/>
      <c r="F68" s="61"/>
      <c r="G68" s="63"/>
      <c r="H68" s="10" t="str">
        <f t="shared" si="2"/>
        <v/>
      </c>
    </row>
    <row r="69">
      <c r="B69" s="55"/>
      <c r="C69" s="53"/>
      <c r="D69" s="55"/>
      <c r="E69" s="55"/>
      <c r="F69" s="61"/>
      <c r="G69" s="63"/>
      <c r="H69" s="10" t="str">
        <f t="shared" si="2"/>
        <v/>
      </c>
    </row>
    <row r="70">
      <c r="B70" s="55"/>
      <c r="C70" s="53"/>
      <c r="D70" s="55"/>
      <c r="E70" s="55"/>
      <c r="F70" s="61"/>
      <c r="G70" s="63"/>
      <c r="H70" s="10" t="str">
        <f t="shared" si="2"/>
        <v/>
      </c>
    </row>
    <row r="71">
      <c r="B71" s="55"/>
      <c r="C71" s="53"/>
      <c r="D71" s="55"/>
      <c r="E71" s="55"/>
      <c r="F71" s="61"/>
      <c r="G71" s="63"/>
      <c r="H71" s="10" t="str">
        <f t="shared" si="2"/>
        <v/>
      </c>
    </row>
    <row r="72">
      <c r="B72" s="55"/>
      <c r="C72" s="53"/>
      <c r="D72" s="55"/>
      <c r="E72" s="55"/>
      <c r="F72" s="61"/>
      <c r="G72" s="63"/>
      <c r="H72" s="10" t="str">
        <f t="shared" si="2"/>
        <v/>
      </c>
    </row>
    <row r="73">
      <c r="B73" s="55"/>
      <c r="C73" s="53"/>
      <c r="D73" s="55"/>
      <c r="E73" s="55"/>
      <c r="F73" s="61"/>
      <c r="G73" s="63"/>
      <c r="H73" s="10" t="str">
        <f t="shared" si="2"/>
        <v/>
      </c>
    </row>
    <row r="74">
      <c r="B74" s="55"/>
      <c r="C74" s="53"/>
      <c r="D74" s="55"/>
      <c r="E74" s="55"/>
      <c r="F74" s="61"/>
      <c r="G74" s="63"/>
      <c r="H74" s="10" t="str">
        <f t="shared" si="2"/>
        <v/>
      </c>
    </row>
    <row r="75">
      <c r="B75" s="55"/>
      <c r="C75" s="53"/>
      <c r="D75" s="55"/>
      <c r="E75" s="55"/>
      <c r="F75" s="61"/>
      <c r="G75" s="63"/>
      <c r="H75" s="10" t="str">
        <f t="shared" si="2"/>
        <v/>
      </c>
    </row>
    <row r="76">
      <c r="B76" s="55"/>
      <c r="C76" s="53"/>
      <c r="D76" s="55"/>
      <c r="E76" s="55"/>
      <c r="F76" s="61"/>
      <c r="G76" s="63"/>
      <c r="H76" s="10" t="str">
        <f t="shared" si="2"/>
        <v/>
      </c>
    </row>
    <row r="77">
      <c r="B77" s="55"/>
      <c r="C77" s="53"/>
      <c r="D77" s="55"/>
      <c r="E77" s="55"/>
      <c r="F77" s="61"/>
      <c r="G77" s="63"/>
      <c r="H77" s="10" t="str">
        <f t="shared" si="2"/>
        <v/>
      </c>
    </row>
    <row r="78">
      <c r="B78" s="55"/>
      <c r="C78" s="53"/>
      <c r="D78" s="55"/>
      <c r="E78" s="55"/>
      <c r="F78" s="61"/>
      <c r="G78" s="63"/>
      <c r="H78" s="10" t="str">
        <f t="shared" si="2"/>
        <v/>
      </c>
    </row>
    <row r="79">
      <c r="B79" s="55"/>
      <c r="C79" s="53"/>
      <c r="D79" s="55"/>
      <c r="E79" s="55"/>
      <c r="F79" s="61"/>
      <c r="G79" s="63"/>
      <c r="H79" s="10" t="str">
        <f t="shared" si="2"/>
        <v/>
      </c>
    </row>
    <row r="80">
      <c r="B80" s="55"/>
      <c r="C80" s="53"/>
      <c r="D80" s="55"/>
      <c r="E80" s="55"/>
      <c r="F80" s="61"/>
      <c r="G80" s="63"/>
      <c r="H80" s="10" t="str">
        <f t="shared" si="2"/>
        <v/>
      </c>
    </row>
    <row r="81">
      <c r="B81" s="55"/>
      <c r="C81" s="53"/>
      <c r="D81" s="55"/>
      <c r="E81" s="55"/>
      <c r="F81" s="61"/>
      <c r="G81" s="63"/>
      <c r="H81" s="10" t="str">
        <f t="shared" si="2"/>
        <v/>
      </c>
    </row>
    <row r="82">
      <c r="B82" s="55"/>
      <c r="C82" s="53"/>
      <c r="D82" s="55"/>
      <c r="E82" s="55"/>
      <c r="F82" s="61"/>
      <c r="G82" s="63"/>
      <c r="H82" s="10" t="str">
        <f t="shared" si="2"/>
        <v/>
      </c>
    </row>
    <row r="83">
      <c r="B83" s="55"/>
      <c r="C83" s="53"/>
      <c r="D83" s="55"/>
      <c r="E83" s="55"/>
      <c r="F83" s="61"/>
      <c r="G83" s="63"/>
      <c r="H83" s="10" t="str">
        <f t="shared" si="2"/>
        <v/>
      </c>
    </row>
    <row r="84">
      <c r="B84" s="55"/>
      <c r="C84" s="53"/>
      <c r="D84" s="55"/>
      <c r="E84" s="55"/>
      <c r="F84" s="61"/>
      <c r="G84" s="63"/>
      <c r="H84" s="10" t="str">
        <f t="shared" si="2"/>
        <v/>
      </c>
    </row>
    <row r="85">
      <c r="B85" s="55"/>
      <c r="C85" s="53"/>
      <c r="D85" s="55"/>
      <c r="E85" s="55"/>
      <c r="F85" s="61"/>
      <c r="G85" s="63"/>
      <c r="H85" s="10" t="str">
        <f t="shared" si="2"/>
        <v/>
      </c>
    </row>
    <row r="86">
      <c r="B86" s="55"/>
      <c r="C86" s="53"/>
      <c r="D86" s="55"/>
      <c r="E86" s="55"/>
      <c r="F86" s="61"/>
      <c r="G86" s="63"/>
      <c r="H86" s="10" t="str">
        <f t="shared" si="2"/>
        <v/>
      </c>
    </row>
    <row r="87">
      <c r="B87" s="55"/>
      <c r="C87" s="53"/>
      <c r="D87" s="55"/>
      <c r="E87" s="55"/>
      <c r="F87" s="61"/>
      <c r="G87" s="63"/>
      <c r="H87" s="10" t="str">
        <f t="shared" si="2"/>
        <v/>
      </c>
    </row>
    <row r="88">
      <c r="B88" s="55"/>
      <c r="C88" s="53"/>
      <c r="D88" s="55"/>
      <c r="E88" s="55"/>
      <c r="F88" s="61"/>
      <c r="G88" s="63"/>
      <c r="H88" s="10" t="str">
        <f t="shared" si="2"/>
        <v/>
      </c>
    </row>
    <row r="89">
      <c r="B89" s="55"/>
      <c r="C89" s="53"/>
      <c r="D89" s="55"/>
      <c r="E89" s="55"/>
      <c r="F89" s="61"/>
      <c r="G89" s="63"/>
      <c r="H89" s="10" t="str">
        <f t="shared" si="2"/>
        <v/>
      </c>
    </row>
    <row r="90">
      <c r="B90" s="55"/>
      <c r="C90" s="53"/>
      <c r="D90" s="55"/>
      <c r="E90" s="55"/>
      <c r="F90" s="61"/>
      <c r="G90" s="63"/>
      <c r="H90" s="10" t="str">
        <f t="shared" si="2"/>
        <v/>
      </c>
    </row>
    <row r="91">
      <c r="B91" s="55"/>
      <c r="C91" s="53"/>
      <c r="D91" s="55"/>
      <c r="E91" s="55"/>
      <c r="F91" s="61"/>
      <c r="G91" s="63"/>
      <c r="H91" s="10" t="str">
        <f t="shared" si="2"/>
        <v/>
      </c>
    </row>
    <row r="92">
      <c r="B92" s="55"/>
      <c r="C92" s="53"/>
      <c r="D92" s="55"/>
      <c r="E92" s="55"/>
      <c r="F92" s="61"/>
      <c r="G92" s="63"/>
      <c r="H92" s="10" t="str">
        <f t="shared" si="2"/>
        <v/>
      </c>
    </row>
    <row r="93">
      <c r="B93" s="55"/>
      <c r="C93" s="53"/>
      <c r="D93" s="55"/>
      <c r="E93" s="55"/>
      <c r="F93" s="61"/>
      <c r="G93" s="63"/>
      <c r="H93" s="10" t="str">
        <f t="shared" si="2"/>
        <v/>
      </c>
    </row>
    <row r="94">
      <c r="B94" s="55"/>
      <c r="C94" s="53"/>
      <c r="D94" s="55"/>
      <c r="E94" s="55"/>
      <c r="F94" s="61"/>
      <c r="G94" s="63"/>
      <c r="H94" s="10" t="str">
        <f t="shared" si="2"/>
        <v/>
      </c>
    </row>
    <row r="95">
      <c r="B95" s="55"/>
      <c r="C95" s="53"/>
      <c r="D95" s="55"/>
      <c r="E95" s="55"/>
      <c r="F95" s="61"/>
      <c r="G95" s="63"/>
      <c r="H95" s="10" t="str">
        <f t="shared" si="2"/>
        <v/>
      </c>
    </row>
    <row r="96">
      <c r="B96" s="55"/>
      <c r="C96" s="53"/>
      <c r="D96" s="55"/>
      <c r="E96" s="55"/>
      <c r="F96" s="61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7"/>
      <c r="D1" s="36"/>
    </row>
    <row r="2" ht="15.75" customHeight="1">
      <c r="B2" s="101" t="s">
        <v>140</v>
      </c>
      <c r="C2" s="27"/>
      <c r="D2" s="3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186</v>
      </c>
    </row>
    <row r="20" ht="19.5" customHeight="1">
      <c r="B20" s="115" t="s">
        <v>187</v>
      </c>
      <c r="C20" s="27"/>
      <c r="D20" s="36"/>
    </row>
    <row r="21" ht="18.0" customHeight="1">
      <c r="B21" s="116" t="s">
        <v>11</v>
      </c>
      <c r="C21" s="116" t="s">
        <v>188</v>
      </c>
      <c r="D21" s="116" t="s">
        <v>189</v>
      </c>
    </row>
    <row r="22" ht="16.5" customHeight="1">
      <c r="B22" s="117" t="s">
        <v>91</v>
      </c>
      <c r="C22" s="118" t="s">
        <v>190</v>
      </c>
      <c r="D22" s="119" t="s">
        <v>191</v>
      </c>
    </row>
    <row r="23" ht="16.5" customHeight="1">
      <c r="B23" s="117" t="s">
        <v>53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86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104</v>
      </c>
      <c r="C28" s="118" t="s">
        <v>205</v>
      </c>
      <c r="D28" s="119" t="s">
        <v>206</v>
      </c>
    </row>
    <row r="29" ht="16.5" customHeight="1">
      <c r="B29" s="117" t="s">
        <v>102</v>
      </c>
      <c r="C29" s="118" t="s">
        <v>207</v>
      </c>
      <c r="D29" s="119" t="s">
        <v>208</v>
      </c>
    </row>
    <row r="30" ht="16.5" customHeight="1">
      <c r="B30" s="122" t="s">
        <v>37</v>
      </c>
      <c r="C30" s="123" t="s">
        <v>209</v>
      </c>
      <c r="D30" s="119" t="s">
        <v>210</v>
      </c>
    </row>
    <row r="31" ht="16.5" customHeight="1">
      <c r="B31" s="122" t="s">
        <v>97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219</v>
      </c>
      <c r="B1" s="137" t="s">
        <v>232</v>
      </c>
      <c r="C1" s="137" t="s">
        <v>15</v>
      </c>
      <c r="D1" s="137"/>
      <c r="E1" s="137"/>
    </row>
    <row r="2">
      <c r="A2" s="139">
        <v>46165.0</v>
      </c>
      <c r="B2" s="137" t="s">
        <v>233</v>
      </c>
      <c r="C2" s="140">
        <v>10000.0</v>
      </c>
      <c r="D2" s="137"/>
      <c r="E2" s="137"/>
    </row>
    <row r="3">
      <c r="A3" s="139">
        <v>46166.0</v>
      </c>
      <c r="B3" s="137" t="s">
        <v>234</v>
      </c>
      <c r="C3" s="140">
        <v>19000.0</v>
      </c>
      <c r="D3" s="137"/>
      <c r="E3" s="137"/>
    </row>
    <row r="4">
      <c r="A4" s="139">
        <v>46168.0</v>
      </c>
      <c r="B4" s="137" t="s">
        <v>235</v>
      </c>
      <c r="C4" s="141">
        <v>2500.0</v>
      </c>
      <c r="D4" s="137"/>
      <c r="E4" s="137"/>
    </row>
    <row r="5">
      <c r="A5" s="139">
        <v>46169.0</v>
      </c>
      <c r="B5" s="137" t="s">
        <v>236</v>
      </c>
      <c r="C5" s="140">
        <v>29050.0</v>
      </c>
      <c r="D5" s="137"/>
      <c r="E5" s="137"/>
    </row>
    <row r="6">
      <c r="A6" s="139">
        <v>46169.0</v>
      </c>
      <c r="B6" s="137" t="s">
        <v>237</v>
      </c>
      <c r="C6" s="141">
        <v>100.0</v>
      </c>
      <c r="D6" s="137"/>
      <c r="E6" s="137"/>
    </row>
    <row r="7">
      <c r="A7" s="139">
        <v>46169.0</v>
      </c>
      <c r="B7" s="137" t="s">
        <v>238</v>
      </c>
      <c r="C7" s="141">
        <v>300.0</v>
      </c>
      <c r="D7" s="137"/>
      <c r="E7" s="137"/>
    </row>
    <row r="8">
      <c r="A8" s="139">
        <v>46169.0</v>
      </c>
      <c r="B8" s="137" t="s">
        <v>239</v>
      </c>
      <c r="C8" s="141">
        <v>370.0</v>
      </c>
      <c r="D8" s="137"/>
      <c r="E8" s="137"/>
    </row>
    <row r="9">
      <c r="A9" s="139">
        <v>46169.0</v>
      </c>
      <c r="B9" s="137" t="s">
        <v>110</v>
      </c>
      <c r="C9" s="141">
        <v>2494.0</v>
      </c>
      <c r="D9" s="137"/>
      <c r="E9" s="137"/>
    </row>
    <row r="10">
      <c r="A10" s="139">
        <v>46169.0</v>
      </c>
      <c r="B10" s="137" t="s">
        <v>240</v>
      </c>
      <c r="C10" s="141">
        <v>5000.0</v>
      </c>
      <c r="D10" s="137"/>
      <c r="E10" s="137"/>
    </row>
    <row r="11">
      <c r="A11" s="139">
        <v>46169.0</v>
      </c>
      <c r="B11" s="137" t="s">
        <v>241</v>
      </c>
      <c r="C11" s="140">
        <v>29000.0</v>
      </c>
      <c r="D11" s="137" t="s">
        <v>242</v>
      </c>
      <c r="E11" s="141">
        <v>24000.0</v>
      </c>
    </row>
    <row r="12">
      <c r="A12" s="139">
        <v>46169.0</v>
      </c>
      <c r="B12" s="137" t="s">
        <v>243</v>
      </c>
      <c r="C12" s="141">
        <v>400.0</v>
      </c>
      <c r="D12" s="137" t="s">
        <v>244</v>
      </c>
      <c r="E12" s="140">
        <v>53000.0</v>
      </c>
    </row>
    <row r="13">
      <c r="A13" s="139">
        <v>46169.0</v>
      </c>
      <c r="B13" s="137" t="s">
        <v>245</v>
      </c>
      <c r="C13" s="141">
        <v>600.0</v>
      </c>
      <c r="D13" s="137"/>
      <c r="E13" s="137"/>
    </row>
    <row r="14">
      <c r="A14" s="139">
        <v>46170.0</v>
      </c>
      <c r="B14" s="137"/>
      <c r="C14" s="137"/>
      <c r="D14" s="137"/>
      <c r="E14" s="137"/>
    </row>
    <row r="22">
      <c r="A22" s="137" t="s">
        <v>246</v>
      </c>
      <c r="B22" s="137" t="s">
        <v>219</v>
      </c>
      <c r="C22" s="137" t="s">
        <v>247</v>
      </c>
      <c r="D22" s="137" t="s">
        <v>15</v>
      </c>
      <c r="E22" s="137" t="s">
        <v>248</v>
      </c>
    </row>
    <row r="23">
      <c r="A23" s="137" t="s">
        <v>249</v>
      </c>
      <c r="B23" s="137" t="s">
        <v>250</v>
      </c>
      <c r="C23" s="137" t="s">
        <v>251</v>
      </c>
      <c r="D23" s="141">
        <v>3150.0</v>
      </c>
      <c r="E23" s="142">
        <v>46464.0</v>
      </c>
    </row>
    <row r="24">
      <c r="A24" s="137" t="s">
        <v>249</v>
      </c>
      <c r="B24" s="137" t="s">
        <v>250</v>
      </c>
      <c r="C24" s="137" t="s">
        <v>252</v>
      </c>
      <c r="D24" s="141">
        <v>2650.0</v>
      </c>
      <c r="E24" s="142">
        <v>46219.0</v>
      </c>
    </row>
    <row r="25">
      <c r="A25" s="137" t="s">
        <v>249</v>
      </c>
      <c r="B25" s="137" t="s">
        <v>250</v>
      </c>
      <c r="C25" s="137" t="s">
        <v>253</v>
      </c>
      <c r="D25" s="141">
        <v>2600.0</v>
      </c>
      <c r="E25" s="142">
        <v>46828.0</v>
      </c>
    </row>
    <row r="26">
      <c r="A26" s="137" t="s">
        <v>249</v>
      </c>
      <c r="B26" s="137" t="s">
        <v>250</v>
      </c>
      <c r="C26" s="137" t="s">
        <v>254</v>
      </c>
      <c r="D26" s="141">
        <v>2680.0</v>
      </c>
      <c r="E26" s="143">
        <v>46863.0</v>
      </c>
    </row>
    <row r="27">
      <c r="A27" s="137" t="s">
        <v>112</v>
      </c>
      <c r="B27" s="137" t="s">
        <v>255</v>
      </c>
      <c r="C27" s="137" t="s">
        <v>256</v>
      </c>
      <c r="D27" s="141">
        <v>5390.0</v>
      </c>
      <c r="E27" s="142">
        <v>46764.0</v>
      </c>
    </row>
    <row r="28">
      <c r="A28" s="137" t="s">
        <v>112</v>
      </c>
      <c r="B28" s="137" t="s">
        <v>255</v>
      </c>
      <c r="C28" s="137" t="s">
        <v>257</v>
      </c>
      <c r="D28" s="141">
        <v>3235.0</v>
      </c>
      <c r="E28" s="142">
        <v>46673.0</v>
      </c>
    </row>
    <row r="29">
      <c r="A29" s="137" t="s">
        <v>112</v>
      </c>
      <c r="B29" s="137" t="s">
        <v>255</v>
      </c>
      <c r="C29" s="137" t="s">
        <v>258</v>
      </c>
      <c r="D29" s="141">
        <v>1230.0</v>
      </c>
      <c r="E29" s="137" t="s">
        <v>259</v>
      </c>
    </row>
    <row r="30">
      <c r="A30" s="137" t="s">
        <v>260</v>
      </c>
      <c r="B30" s="137"/>
      <c r="C30" s="137" t="s">
        <v>251</v>
      </c>
      <c r="D30" s="144">
        <v>2970.0</v>
      </c>
      <c r="E30" s="137"/>
    </row>
    <row r="31">
      <c r="A31" s="137" t="s">
        <v>260</v>
      </c>
      <c r="B31" s="137"/>
      <c r="C31" s="137" t="s">
        <v>256</v>
      </c>
      <c r="D31" s="144">
        <v>2970.0</v>
      </c>
      <c r="E31" s="137"/>
    </row>
    <row r="32">
      <c r="A32" s="137" t="s">
        <v>261</v>
      </c>
      <c r="B32" s="137" t="s">
        <v>262</v>
      </c>
      <c r="C32" s="137"/>
      <c r="D32" s="141">
        <v>5000.0</v>
      </c>
      <c r="E32" s="137" t="s">
        <v>263</v>
      </c>
    </row>
    <row r="42">
      <c r="A42" s="145" t="s">
        <v>264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46" t="s">
        <v>6</v>
      </c>
      <c r="B45" s="146" t="s">
        <v>265</v>
      </c>
      <c r="C45" s="146" t="s">
        <v>266</v>
      </c>
      <c r="D45" s="146" t="s">
        <v>88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4" t="s">
        <v>275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5">
        <f t="shared" si="2"/>
        <v>615612.9729</v>
      </c>
      <c r="I47" s="155">
        <f t="shared" si="3"/>
        <v>212564.401</v>
      </c>
      <c r="J47" s="159">
        <f t="shared" si="4"/>
        <v>256387.1932</v>
      </c>
    </row>
    <row r="48">
      <c r="A48" s="147" t="s">
        <v>276</v>
      </c>
      <c r="B48" s="160"/>
      <c r="C48" s="161"/>
      <c r="D48" s="148">
        <f>IF(AND(B48&lt;&gt;"", C48&lt;&gt;"", E48&lt;&gt;""), PMT(C48/12, E48, -B48), 15250)</f>
        <v>15250</v>
      </c>
      <c r="E48" s="162"/>
      <c r="F48" s="151">
        <v>0.0</v>
      </c>
      <c r="G48" s="162" t="str">
        <f t="shared" si="1"/>
        <v/>
      </c>
      <c r="H48" s="148">
        <f t="shared" si="2"/>
        <v>0</v>
      </c>
      <c r="I48" s="160" t="str">
        <f t="shared" si="3"/>
        <v/>
      </c>
      <c r="J48" s="163" t="str">
        <f t="shared" si="4"/>
        <v/>
      </c>
    </row>
    <row r="49">
      <c r="A49" s="154" t="s">
        <v>49</v>
      </c>
      <c r="B49" s="155">
        <v>97110.0</v>
      </c>
      <c r="C49" s="164"/>
      <c r="D49" s="155">
        <f>IF(AND(B49&lt;&gt;"", C49&lt;&gt;"", E49&lt;&gt;""), PMT(C49/12, E49, -B49), 18972)</f>
        <v>18972</v>
      </c>
      <c r="E49" s="165"/>
      <c r="F49" s="158">
        <v>0.0</v>
      </c>
      <c r="G49" s="165" t="str">
        <f t="shared" si="1"/>
        <v/>
      </c>
      <c r="H49" s="155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47" t="s">
        <v>278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3">
        <f t="shared" si="4"/>
        <v>8148.106161</v>
      </c>
    </row>
    <row r="51">
      <c r="A51" s="168" t="s">
        <v>279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2">
        <f t="shared" si="4"/>
        <v>20030.43769</v>
      </c>
    </row>
    <row r="52">
      <c r="A52" s="147" t="s">
        <v>280</v>
      </c>
      <c r="B52" s="160"/>
      <c r="C52" s="161"/>
      <c r="D52" s="148">
        <f>IF(AND(B52&lt;&gt;"", C52&lt;&gt;"", E52&lt;&gt;""), PMT(C52/12, E52, -B52), 3850)</f>
        <v>3850</v>
      </c>
      <c r="E52" s="162"/>
      <c r="F52" s="151">
        <v>0.0</v>
      </c>
      <c r="G52" s="162" t="str">
        <f t="shared" si="1"/>
        <v/>
      </c>
      <c r="H52" s="148">
        <f t="shared" si="2"/>
        <v>0</v>
      </c>
      <c r="I52" s="160" t="str">
        <f t="shared" si="3"/>
        <v/>
      </c>
      <c r="J52" s="163" t="str">
        <f t="shared" si="4"/>
        <v/>
      </c>
    </row>
    <row r="61">
      <c r="A61" s="174" t="s">
        <v>219</v>
      </c>
      <c r="B61" s="174" t="s">
        <v>281</v>
      </c>
      <c r="C61" s="174" t="s">
        <v>15</v>
      </c>
      <c r="D61" s="174" t="s">
        <v>282</v>
      </c>
      <c r="E61" s="174" t="s">
        <v>283</v>
      </c>
      <c r="F61" s="174" t="s">
        <v>284</v>
      </c>
      <c r="G61" s="174" t="s">
        <v>15</v>
      </c>
      <c r="H61" s="137"/>
      <c r="I61" s="174" t="s">
        <v>285</v>
      </c>
      <c r="J61" s="137" t="s">
        <v>286</v>
      </c>
    </row>
    <row r="62">
      <c r="A62" s="139">
        <v>46143.0</v>
      </c>
      <c r="B62" s="137" t="s">
        <v>222</v>
      </c>
      <c r="C62" s="175">
        <v>11839.0</v>
      </c>
      <c r="D62" s="176" t="b">
        <v>1</v>
      </c>
      <c r="E62" s="137" t="s">
        <v>288</v>
      </c>
      <c r="F62" s="137" t="s">
        <v>289</v>
      </c>
      <c r="G62" s="175">
        <v>71000.0</v>
      </c>
      <c r="H62" s="137"/>
      <c r="I62" s="174" t="s">
        <v>290</v>
      </c>
      <c r="J62" s="175">
        <f>SUM(C62:C1000)</f>
        <v>84657</v>
      </c>
    </row>
    <row r="63">
      <c r="A63" s="139">
        <v>46144.0</v>
      </c>
      <c r="B63" s="137" t="s">
        <v>291</v>
      </c>
      <c r="C63" s="175">
        <v>3850.0</v>
      </c>
      <c r="D63" s="176" t="b">
        <v>1</v>
      </c>
      <c r="E63" s="137" t="s">
        <v>292</v>
      </c>
      <c r="F63" s="137"/>
      <c r="G63" s="177"/>
      <c r="H63" s="137"/>
      <c r="I63" s="174" t="s">
        <v>270</v>
      </c>
      <c r="J63" s="175">
        <f>SUMIFS(C62:C1000, D62:D1000, TRUE)</f>
        <v>50435</v>
      </c>
    </row>
    <row r="64">
      <c r="A64" s="139">
        <v>46145.0</v>
      </c>
      <c r="B64" s="137" t="s">
        <v>293</v>
      </c>
      <c r="C64" s="175">
        <v>4627.0</v>
      </c>
      <c r="D64" s="176" t="b">
        <v>1</v>
      </c>
      <c r="E64" s="137"/>
      <c r="F64" s="137"/>
      <c r="G64" s="177"/>
      <c r="H64" s="137"/>
      <c r="I64" s="174" t="s">
        <v>294</v>
      </c>
      <c r="J64" s="175">
        <f>SUMIFS(C62:C1000, D62:D1000, FALSE)</f>
        <v>34222</v>
      </c>
    </row>
    <row r="65">
      <c r="A65" s="139">
        <v>46147.0</v>
      </c>
      <c r="B65" s="137" t="s">
        <v>295</v>
      </c>
      <c r="C65" s="175">
        <v>5000.0</v>
      </c>
      <c r="D65" s="176" t="b">
        <v>1</v>
      </c>
      <c r="E65" s="137"/>
      <c r="F65" s="137"/>
      <c r="G65" s="177"/>
      <c r="H65" s="137"/>
      <c r="I65" s="174" t="s">
        <v>296</v>
      </c>
      <c r="J65" s="175">
        <f>SUM(G62:G1000)</f>
        <v>71000</v>
      </c>
    </row>
    <row r="66">
      <c r="A66" s="139">
        <v>46167.0</v>
      </c>
      <c r="B66" s="137" t="s">
        <v>297</v>
      </c>
      <c r="C66" s="175">
        <v>18972.0</v>
      </c>
      <c r="D66" s="176" t="b">
        <v>0</v>
      </c>
      <c r="E66" s="178">
        <v>97110.0</v>
      </c>
      <c r="F66" s="137"/>
      <c r="G66" s="177"/>
      <c r="H66" s="137"/>
      <c r="I66" s="174" t="s">
        <v>298</v>
      </c>
      <c r="J66" s="175">
        <f>J65-J62</f>
        <v>-13657</v>
      </c>
    </row>
    <row r="67">
      <c r="A67" s="139">
        <v>46146.0</v>
      </c>
      <c r="B67" s="137" t="s">
        <v>299</v>
      </c>
      <c r="C67" s="175">
        <v>13625.0</v>
      </c>
      <c r="D67" s="176" t="b">
        <v>1</v>
      </c>
      <c r="E67" s="137" t="s">
        <v>300</v>
      </c>
      <c r="F67" s="137"/>
      <c r="G67" s="177"/>
      <c r="H67" s="137"/>
      <c r="I67" s="137"/>
      <c r="J67" s="137"/>
    </row>
    <row r="68">
      <c r="A68" s="139">
        <v>46145.0</v>
      </c>
      <c r="B68" s="137" t="s">
        <v>301</v>
      </c>
      <c r="C68" s="175">
        <v>2494.0</v>
      </c>
      <c r="D68" s="176" t="b">
        <v>1</v>
      </c>
      <c r="E68" s="137"/>
      <c r="F68" s="137"/>
      <c r="G68" s="177"/>
      <c r="H68" s="137"/>
      <c r="I68" s="137"/>
      <c r="J68" s="137"/>
    </row>
    <row r="69">
      <c r="A69" s="139">
        <v>46144.0</v>
      </c>
      <c r="B69" s="137" t="s">
        <v>302</v>
      </c>
      <c r="C69" s="175">
        <v>4500.0</v>
      </c>
      <c r="D69" s="176" t="b">
        <v>1</v>
      </c>
      <c r="E69" s="137"/>
      <c r="F69" s="137"/>
      <c r="G69" s="177"/>
      <c r="H69" s="137"/>
      <c r="I69" s="137"/>
      <c r="J69" s="137"/>
    </row>
    <row r="70">
      <c r="A70" s="139">
        <v>46152.0</v>
      </c>
      <c r="B70" s="137" t="s">
        <v>304</v>
      </c>
      <c r="C70" s="175">
        <v>1500.0</v>
      </c>
      <c r="D70" s="176" t="b">
        <v>1</v>
      </c>
      <c r="E70" s="137"/>
      <c r="F70" s="137"/>
      <c r="G70" s="177"/>
      <c r="H70" s="137"/>
      <c r="I70" s="137"/>
      <c r="J70" s="137"/>
    </row>
    <row r="71">
      <c r="A71" s="139">
        <v>46152.0</v>
      </c>
      <c r="B71" s="137" t="s">
        <v>305</v>
      </c>
      <c r="C71" s="175">
        <v>3000.0</v>
      </c>
      <c r="D71" s="176" t="b">
        <v>1</v>
      </c>
      <c r="E71" s="137"/>
      <c r="F71" s="137"/>
      <c r="G71" s="177"/>
      <c r="H71" s="137"/>
      <c r="I71" s="137"/>
      <c r="J71" s="137"/>
    </row>
    <row r="72">
      <c r="A72" s="139">
        <v>46157.0</v>
      </c>
      <c r="B72" s="137" t="s">
        <v>306</v>
      </c>
      <c r="C72" s="175">
        <v>15250.0</v>
      </c>
      <c r="D72" s="176" t="b">
        <v>0</v>
      </c>
      <c r="E72" s="137"/>
      <c r="F72" s="137"/>
      <c r="G72" s="177"/>
      <c r="H72" s="137"/>
      <c r="I72" s="137"/>
      <c r="J72" s="13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219</v>
      </c>
      <c r="B1" s="133" t="s">
        <v>220</v>
      </c>
      <c r="C1" s="133" t="s">
        <v>221</v>
      </c>
      <c r="D1" s="133" t="s">
        <v>17</v>
      </c>
    </row>
    <row r="2">
      <c r="A2" s="134">
        <v>46060.0</v>
      </c>
      <c r="B2" s="9" t="s">
        <v>222</v>
      </c>
      <c r="C2" s="135">
        <v>12000.0</v>
      </c>
      <c r="D2" s="9" t="s">
        <v>223</v>
      </c>
    </row>
    <row r="3">
      <c r="A3" s="134">
        <v>46060.0</v>
      </c>
      <c r="B3" s="9" t="s">
        <v>224</v>
      </c>
      <c r="C3" s="9">
        <v>4600.0</v>
      </c>
      <c r="D3" s="9" t="s">
        <v>225</v>
      </c>
    </row>
    <row r="4">
      <c r="A4" s="136" t="s">
        <v>226</v>
      </c>
      <c r="B4" s="9" t="s">
        <v>227</v>
      </c>
      <c r="C4" s="135">
        <v>15500.0</v>
      </c>
      <c r="D4" s="9" t="s">
        <v>228</v>
      </c>
    </row>
    <row r="5">
      <c r="A5" s="136" t="s">
        <v>229</v>
      </c>
      <c r="B5" s="9" t="s">
        <v>230</v>
      </c>
      <c r="C5" s="9">
        <v>2000.0</v>
      </c>
      <c r="D5" s="9" t="s">
        <v>231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